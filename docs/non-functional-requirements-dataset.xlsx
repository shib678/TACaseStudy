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R Dataset" sheetId="1" state="visible" r:id="rId1"/>
    <sheet name="Priority Matrix" sheetId="2" state="visible" r:id="rId2"/>
    <sheet name="Category Summary" sheetId="3" state="visible" r:id="rId3"/>
    <sheet name="Test Approach Register" sheetId="4" state="visible" r:id="rId4"/>
  </sheets>
  <definedNames>
    <definedName name="_xlnm._FilterDatabase" localSheetId="0" hidden="1">'NFR Dataset'!$A$1:$L$69</definedName>
    <definedName name="_xlnm._FilterDatabase" localSheetId="1" hidden="1">'Priority Matrix'!$A$1:$F$69</definedName>
    <definedName name="_xlnm._FilterDatabase" localSheetId="2" hidden="1">'Category Summary'!$A$1:$I$12</definedName>
    <definedName name="_xlnm._FilterDatabase" localSheetId="3" hidden="1">'Test Approach Register'!$A$1:$F$11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F730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40" customWidth="1" min="4" max="4"/>
    <col width="45" customWidth="1" min="5" max="5"/>
    <col width="12" customWidth="1" min="6" max="6"/>
    <col width="10" customWidth="1" min="7" max="7"/>
    <col width="50" customWidth="1" min="8" max="8"/>
    <col width="55" customWidth="1" min="9" max="9"/>
    <col width="50" customWidth="1" min="10" max="10"/>
    <col width="18" customWidth="1" min="11" max="11"/>
    <col width="18" customWidth="1" min="12" max="12"/>
  </cols>
  <sheetData>
    <row r="1">
      <c r="A1" s="1" t="inlineStr">
        <is>
          <t>NFR_ID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Requirement</t>
        </is>
      </c>
      <c r="E1" s="1" t="inlineStr">
        <is>
          <t>Measurable_Target</t>
        </is>
      </c>
      <c r="F1" s="1" t="inlineStr">
        <is>
          <t>Priority</t>
        </is>
      </c>
      <c r="G1" s="1" t="inlineStr">
        <is>
          <t>MoSCoW</t>
        </is>
      </c>
      <c r="H1" s="1" t="inlineStr">
        <is>
          <t>Rationale</t>
        </is>
      </c>
      <c r="I1" s="1" t="inlineStr">
        <is>
          <t>How_Addressed_In_Design</t>
        </is>
      </c>
      <c r="J1" s="1" t="inlineStr">
        <is>
          <t>Test_Approach</t>
        </is>
      </c>
      <c r="K1" s="1" t="inlineStr">
        <is>
          <t>Owner</t>
        </is>
      </c>
      <c r="L1" s="1" t="inlineStr">
        <is>
          <t>Review_Frequency</t>
        </is>
      </c>
    </row>
    <row r="2">
      <c r="A2" s="2" t="inlineStr">
        <is>
          <t>NFR-PERF-001</t>
        </is>
      </c>
      <c r="B2" s="2" t="inlineStr">
        <is>
          <t>Performance</t>
        </is>
      </c>
      <c r="C2" s="2" t="inlineStr">
        <is>
          <t>Response Time</t>
        </is>
      </c>
      <c r="D2" s="2" t="inlineStr">
        <is>
          <t>API response time for search queries</t>
        </is>
      </c>
      <c r="E2" s="2" t="inlineStr">
        <is>
          <t>P95 &lt; 500ms under normal load (100 concurrent users)</t>
        </is>
      </c>
      <c r="F2" s="3" t="inlineStr">
        <is>
          <t>Critical</t>
        </is>
      </c>
      <c r="G2" s="3" t="inlineStr">
        <is>
          <t>Must</t>
        </is>
      </c>
      <c r="H2" s="2" t="inlineStr">
        <is>
          <t>Store managers query prices throughout the trading day</t>
        </is>
      </c>
      <c r="I2" s="2" t="inlineStr">
        <is>
          <t>EF Core paginated queries with composite indexes + Redis cache (5-min TTL)</t>
        </is>
      </c>
      <c r="J2" s="2" t="inlineStr">
        <is>
          <t>Load test with k6: 100 VUs, assert P95 &lt; 500ms</t>
        </is>
      </c>
      <c r="K2" s="2" t="inlineStr">
        <is>
          <t>Platform Team</t>
        </is>
      </c>
      <c r="L2" s="2" t="inlineStr">
        <is>
          <t>Quarterly</t>
        </is>
      </c>
    </row>
    <row r="3">
      <c r="A3" s="4" t="inlineStr">
        <is>
          <t>NFR-PERF-002</t>
        </is>
      </c>
      <c r="B3" s="4" t="inlineStr">
        <is>
          <t>Performance</t>
        </is>
      </c>
      <c r="C3" s="4" t="inlineStr">
        <is>
          <t>Throughput</t>
        </is>
      </c>
      <c r="D3" s="4" t="inlineStr">
        <is>
          <t>CSV upload processing — 10k rows</t>
        </is>
      </c>
      <c r="E3" s="4" t="inlineStr">
        <is>
          <t>Complete within 30 seconds end-to-end</t>
        </is>
      </c>
      <c r="F3" s="3" t="inlineStr">
        <is>
          <t>Critical</t>
        </is>
      </c>
      <c r="G3" s="3" t="inlineStr">
        <is>
          <t>Must</t>
        </is>
      </c>
      <c r="H3" s="4" t="inlineStr">
        <is>
          <t>Stores upload daily feeds before market open; delays affect trading</t>
        </is>
      </c>
      <c r="I3" s="4" t="inlineStr">
        <is>
          <t>EFCore.BulkExtensions MERGE upsert bypasses row-by-row EF tracking</t>
        </is>
      </c>
      <c r="J3" s="4" t="inlineStr">
        <is>
          <t>Performance test: upload 10k-row CSV, assert &lt; 30s</t>
        </is>
      </c>
      <c r="K3" s="4" t="inlineStr">
        <is>
          <t>Platform Team</t>
        </is>
      </c>
      <c r="L3" s="4" t="inlineStr">
        <is>
          <t>Quarterly</t>
        </is>
      </c>
    </row>
    <row r="4">
      <c r="A4" s="2" t="inlineStr">
        <is>
          <t>NFR-PERF-003</t>
        </is>
      </c>
      <c r="B4" s="2" t="inlineStr">
        <is>
          <t>Performance</t>
        </is>
      </c>
      <c r="C4" s="2" t="inlineStr">
        <is>
          <t>Throughput</t>
        </is>
      </c>
      <c r="D4" s="2" t="inlineStr">
        <is>
          <t>CSV upload processing — 50k rows</t>
        </is>
      </c>
      <c r="E4" s="2" t="inlineStr">
        <is>
          <t>Complete within 120 seconds end-to-end</t>
        </is>
      </c>
      <c r="F4" s="5" t="inlineStr">
        <is>
          <t>High</t>
        </is>
      </c>
      <c r="G4" s="3" t="inlineStr">
        <is>
          <t>Must</t>
        </is>
      </c>
      <c r="H4" s="2" t="inlineStr">
        <is>
          <t>Larger stores (hypermarkets) carry 50k+ SKUs</t>
        </is>
      </c>
      <c r="I4" s="2" t="inlineStr">
        <is>
          <t>EFCore.BulkExtensions batch size 5000; async processing with progress tracking</t>
        </is>
      </c>
      <c r="J4" s="2" t="inlineStr">
        <is>
          <t>Performance test: upload 50k-row CSV, assert &lt; 120s</t>
        </is>
      </c>
      <c r="K4" s="2" t="inlineStr">
        <is>
          <t>Platform Team</t>
        </is>
      </c>
      <c r="L4" s="2" t="inlineStr">
        <is>
          <t>Quarterly</t>
        </is>
      </c>
    </row>
    <row r="5">
      <c r="A5" s="4" t="inlineStr">
        <is>
          <t>NFR-PERF-004</t>
        </is>
      </c>
      <c r="B5" s="4" t="inlineStr">
        <is>
          <t>Performance</t>
        </is>
      </c>
      <c r="C5" s="4" t="inlineStr">
        <is>
          <t>Frontend</t>
        </is>
      </c>
      <c r="D5" s="4" t="inlineStr">
        <is>
          <t>Page load Time to Interactive</t>
        </is>
      </c>
      <c r="E5" s="4" t="inlineStr">
        <is>
          <t>&lt; 3 seconds on simulated 4G connection</t>
        </is>
      </c>
      <c r="F5" s="5" t="inlineStr">
        <is>
          <t>High</t>
        </is>
      </c>
      <c r="G5" s="3" t="inlineStr">
        <is>
          <t>Must</t>
        </is>
      </c>
      <c r="H5" s="4" t="inlineStr">
        <is>
          <t>Store managers use a mix of desktop and tablet devices</t>
        </is>
      </c>
      <c r="I5" s="4" t="inlineStr">
        <is>
          <t>Webpack Module Federation lazy-loads MFEs; CDN edge caching of bundles</t>
        </is>
      </c>
      <c r="J5" s="4" t="inlineStr">
        <is>
          <t>Lighthouse CI: assert TTI &lt; 3s on simulated 4G</t>
        </is>
      </c>
      <c r="K5" s="4" t="inlineStr">
        <is>
          <t>Frontend Team</t>
        </is>
      </c>
      <c r="L5" s="4" t="inlineStr">
        <is>
          <t>Quarterly</t>
        </is>
      </c>
    </row>
    <row r="6">
      <c r="A6" s="2" t="inlineStr">
        <is>
          <t>NFR-PERF-005</t>
        </is>
      </c>
      <c r="B6" s="2" t="inlineStr">
        <is>
          <t>Performance</t>
        </is>
      </c>
      <c r="C6" s="2" t="inlineStr">
        <is>
          <t>Database</t>
        </is>
      </c>
      <c r="D6" s="2" t="inlineStr">
        <is>
          <t>Paginated search query execution</t>
        </is>
      </c>
      <c r="E6" s="2" t="inlineStr">
        <is>
          <t>&lt; 200ms P95 at 500 concurrent searches</t>
        </is>
      </c>
      <c r="F6" s="3" t="inlineStr">
        <is>
          <t>Critical</t>
        </is>
      </c>
      <c r="G6" s="3" t="inlineStr">
        <is>
          <t>Must</t>
        </is>
      </c>
      <c r="H6" s="2" t="inlineStr">
        <is>
          <t>Corporate analysts run bulk searches across all 3000 stores</t>
        </is>
      </c>
      <c r="I6" s="2" t="inlineStr">
        <is>
          <t>Composite index on (StoreId, Sku, EffectiveDate); covering indexes on filter columns</t>
        </is>
      </c>
      <c r="J6" s="2" t="inlineStr">
        <is>
          <t>Load test with k6: 500 VUs search queries, assert DB query time &lt; 200ms</t>
        </is>
      </c>
      <c r="K6" s="2" t="inlineStr">
        <is>
          <t>DBA Team</t>
        </is>
      </c>
      <c r="L6" s="2" t="inlineStr">
        <is>
          <t>Monthly</t>
        </is>
      </c>
    </row>
    <row r="7">
      <c r="A7" s="4" t="inlineStr">
        <is>
          <t>NFR-PERF-006</t>
        </is>
      </c>
      <c r="B7" s="4" t="inlineStr">
        <is>
          <t>Performance</t>
        </is>
      </c>
      <c r="C7" s="4" t="inlineStr">
        <is>
          <t>Concurrency</t>
        </is>
      </c>
      <c r="D7" s="4" t="inlineStr">
        <is>
          <t>Simultaneous CSV upload sessions</t>
        </is>
      </c>
      <c r="E7" s="4" t="inlineStr">
        <is>
          <t>Support 500 concurrent uploads without degradation</t>
        </is>
      </c>
      <c r="F7" s="5" t="inlineStr">
        <is>
          <t>High</t>
        </is>
      </c>
      <c r="G7" s="3" t="inlineStr">
        <is>
          <t>Must</t>
        </is>
      </c>
      <c r="H7" s="4" t="inlineStr">
        <is>
          <t>All 3000 stores upload at similar times (morning shift start)</t>
        </is>
      </c>
      <c r="I7" s="4" t="inlineStr">
        <is>
          <t>Async MediatR pipeline; Azure Service Bus queue absorbs burst; horizontal API scaling</t>
        </is>
      </c>
      <c r="J7" s="4" t="inlineStr">
        <is>
          <t>Load test: 500 concurrent upload requests, assert no timeouts</t>
        </is>
      </c>
      <c r="K7" s="4" t="inlineStr">
        <is>
          <t>Platform Team</t>
        </is>
      </c>
      <c r="L7" s="4" t="inlineStr">
        <is>
          <t>Quarterly</t>
        </is>
      </c>
    </row>
    <row r="8">
      <c r="A8" s="2" t="inlineStr">
        <is>
          <t>NFR-PERF-007</t>
        </is>
      </c>
      <c r="B8" s="2" t="inlineStr">
        <is>
          <t>Performance</t>
        </is>
      </c>
      <c r="C8" s="2" t="inlineStr">
        <is>
          <t>Frontend</t>
        </is>
      </c>
      <c r="D8" s="2" t="inlineStr">
        <is>
          <t>Search results render time</t>
        </is>
      </c>
      <c r="E8" s="2" t="inlineStr">
        <is>
          <t>&lt; 1 second from API response to visible rows</t>
        </is>
      </c>
      <c r="F8" s="6" t="inlineStr">
        <is>
          <t>Medium</t>
        </is>
      </c>
      <c r="G8" s="5" t="inlineStr">
        <is>
          <t>Should</t>
        </is>
      </c>
      <c r="H8" s="2" t="inlineStr">
        <is>
          <t>Analyst productivity depends on fast data exploration</t>
        </is>
      </c>
      <c r="I8" s="2" t="inlineStr">
        <is>
          <t>MUI DataGrid virtualised rendering; RTK Query caches prior results</t>
        </is>
      </c>
      <c r="J8" s="2" t="inlineStr">
        <is>
          <t>Synthetic monitor: measure render time via browser automation</t>
        </is>
      </c>
      <c r="K8" s="2" t="inlineStr">
        <is>
          <t>Frontend Team</t>
        </is>
      </c>
      <c r="L8" s="2" t="inlineStr">
        <is>
          <t>Quarterly</t>
        </is>
      </c>
    </row>
    <row r="9">
      <c r="A9" s="4" t="inlineStr">
        <is>
          <t>NFR-PERF-008</t>
        </is>
      </c>
      <c r="B9" s="4" t="inlineStr">
        <is>
          <t>Performance</t>
        </is>
      </c>
      <c r="C9" s="4" t="inlineStr">
        <is>
          <t>Throughput</t>
        </is>
      </c>
      <c r="D9" s="4" t="inlineStr">
        <is>
          <t>Bulk upsert database throughput</t>
        </is>
      </c>
      <c r="E9" s="4" t="inlineStr">
        <is>
          <t>Minimum 5000 rows/second sustained</t>
        </is>
      </c>
      <c r="F9" s="5" t="inlineStr">
        <is>
          <t>High</t>
        </is>
      </c>
      <c r="G9" s="3" t="inlineStr">
        <is>
          <t>Must</t>
        </is>
      </c>
      <c r="H9" s="4" t="inlineStr">
        <is>
          <t>Peak batch: 3000 stores × 100 rows = 300k rows within 1-hour window</t>
        </is>
      </c>
      <c r="I9" s="4" t="inlineStr">
        <is>
          <t>SQL Server MERGE via BulkExtensions; table partitioning by StoreId</t>
        </is>
      </c>
      <c r="J9" s="4" t="inlineStr">
        <is>
          <t>Throughput benchmark: insert 300k rows, measure rows/sec</t>
        </is>
      </c>
      <c r="K9" s="4" t="inlineStr">
        <is>
          <t>DBA Team</t>
        </is>
      </c>
      <c r="L9" s="4" t="inlineStr">
        <is>
          <t>Quarterly</t>
        </is>
      </c>
    </row>
    <row r="10">
      <c r="A10" s="2" t="inlineStr">
        <is>
          <t>NFR-PERF-009</t>
        </is>
      </c>
      <c r="B10" s="2" t="inlineStr">
        <is>
          <t>Performance</t>
        </is>
      </c>
      <c r="C10" s="2" t="inlineStr">
        <is>
          <t>Caching</t>
        </is>
      </c>
      <c r="D10" s="2" t="inlineStr">
        <is>
          <t>Redis cache hit ratio</t>
        </is>
      </c>
      <c r="E10" s="2" t="inlineStr">
        <is>
          <t>&gt; 80% hit rate for repeated search queries</t>
        </is>
      </c>
      <c r="F10" s="6" t="inlineStr">
        <is>
          <t>Medium</t>
        </is>
      </c>
      <c r="G10" s="5" t="inlineStr">
        <is>
          <t>Should</t>
        </is>
      </c>
      <c r="H10" s="2" t="inlineStr">
        <is>
          <t>Analysts frequently repeat the same cross-store searches</t>
        </is>
      </c>
      <c r="I10" s="2" t="inlineStr">
        <is>
          <t>Redis distributed cache keyed by search parameters; 5-minute TTL</t>
        </is>
      </c>
      <c r="J10" s="2" t="inlineStr">
        <is>
          <t>Monitor cache hit ratio via Azure Cache for Redis metrics dashboard</t>
        </is>
      </c>
      <c r="K10" s="2" t="inlineStr">
        <is>
          <t>Platform Team</t>
        </is>
      </c>
      <c r="L10" s="2" t="inlineStr">
        <is>
          <t>Monthly</t>
        </is>
      </c>
    </row>
    <row r="11">
      <c r="A11" s="4" t="inlineStr">
        <is>
          <t>NFR-PERF-010</t>
        </is>
      </c>
      <c r="B11" s="4" t="inlineStr">
        <is>
          <t>Performance</t>
        </is>
      </c>
      <c r="C11" s="4" t="inlineStr">
        <is>
          <t>API Gateway</t>
        </is>
      </c>
      <c r="D11" s="4" t="inlineStr">
        <is>
          <t>API gateway sustained throughput</t>
        </is>
      </c>
      <c r="E11" s="4" t="inlineStr">
        <is>
          <t>10000 requests/minute sustained for 1 hour</t>
        </is>
      </c>
      <c r="F11" s="5" t="inlineStr">
        <is>
          <t>High</t>
        </is>
      </c>
      <c r="G11" s="3" t="inlineStr">
        <is>
          <t>Must</t>
        </is>
      </c>
      <c r="H11" s="4" t="inlineStr">
        <is>
          <t>3000 stores + analyst tools generate high API traffic</t>
        </is>
      </c>
      <c r="I11" s="4" t="inlineStr">
        <is>
          <t>Azure API Management with rate limiting and horizontal pod autoscaling</t>
        </is>
      </c>
      <c r="J11" s="4" t="inlineStr">
        <is>
          <t>Load test: sustain 10k req/min for 60 minutes, assert &lt; 1% error rate</t>
        </is>
      </c>
      <c r="K11" s="4" t="inlineStr">
        <is>
          <t>Platform Team</t>
        </is>
      </c>
      <c r="L11" s="4" t="inlineStr">
        <is>
          <t>Quarterly</t>
        </is>
      </c>
    </row>
    <row r="12">
      <c r="A12" s="2" t="inlineStr">
        <is>
          <t>NFR-SCAL-001</t>
        </is>
      </c>
      <c r="B12" s="2" t="inlineStr">
        <is>
          <t>Scalability</t>
        </is>
      </c>
      <c r="C12" s="2" t="inlineStr">
        <is>
          <t>Compute</t>
        </is>
      </c>
      <c r="D12" s="2" t="inlineStr">
        <is>
          <t>API horizontal auto-scaling</t>
        </is>
      </c>
      <c r="E12" s="2" t="inlineStr">
        <is>
          <t>Scale from 2 to 20 pods within 3 minutes of load spike</t>
        </is>
      </c>
      <c r="F12" s="3" t="inlineStr">
        <is>
          <t>Critical</t>
        </is>
      </c>
      <c r="G12" s="3" t="inlineStr">
        <is>
          <t>Must</t>
        </is>
      </c>
      <c r="H12" s="2" t="inlineStr">
        <is>
          <t>Seasonal events (Black Friday) cause 10x traffic spikes</t>
        </is>
      </c>
      <c r="I12" s="2" t="inlineStr">
        <is>
          <t>Kubernetes HPA on CPU/memory; Azure Container Apps autoscale rules</t>
        </is>
      </c>
      <c r="J12" s="2" t="inlineStr">
        <is>
          <t>Chaos test: inject 10x load spike, assert scale-out within 3 minutes</t>
        </is>
      </c>
      <c r="K12" s="2" t="inlineStr">
        <is>
          <t>Platform Team</t>
        </is>
      </c>
      <c r="L12" s="2" t="inlineStr">
        <is>
          <t>Quarterly</t>
        </is>
      </c>
    </row>
    <row r="13">
      <c r="A13" s="4" t="inlineStr">
        <is>
          <t>NFR-SCAL-002</t>
        </is>
      </c>
      <c r="B13" s="4" t="inlineStr">
        <is>
          <t>Scalability</t>
        </is>
      </c>
      <c r="C13" s="4" t="inlineStr">
        <is>
          <t>Database</t>
        </is>
      </c>
      <c r="D13" s="4" t="inlineStr">
        <is>
          <t>Read replica support</t>
        </is>
      </c>
      <c r="E13" s="4" t="inlineStr">
        <is>
          <t>5 read replicas for search queries</t>
        </is>
      </c>
      <c r="F13" s="5" t="inlineStr">
        <is>
          <t>High</t>
        </is>
      </c>
      <c r="G13" s="3" t="inlineStr">
        <is>
          <t>Must</t>
        </is>
      </c>
      <c r="H13" s="4" t="inlineStr">
        <is>
          <t>Search is read-heavy; write path (upload) must not contend with reads</t>
        </is>
      </c>
      <c r="I13" s="4" t="inlineStr">
        <is>
          <t>Azure SQL Business Critical tier with read scale-out; EF Core read replica routing</t>
        </is>
      </c>
      <c r="J13" s="4" t="inlineStr">
        <is>
          <t>Test: run 1000 concurrent read queries, verify distribution across replicas</t>
        </is>
      </c>
      <c r="K13" s="4" t="inlineStr">
        <is>
          <t>DBA Team</t>
        </is>
      </c>
      <c r="L13" s="4" t="inlineStr">
        <is>
          <t>Quarterly</t>
        </is>
      </c>
    </row>
    <row r="14">
      <c r="A14" s="2" t="inlineStr">
        <is>
          <t>NFR-SCAL-003</t>
        </is>
      </c>
      <c r="B14" s="2" t="inlineStr">
        <is>
          <t>Scalability</t>
        </is>
      </c>
      <c r="C14" s="2" t="inlineStr">
        <is>
          <t>Storage</t>
        </is>
      </c>
      <c r="D14" s="2" t="inlineStr">
        <is>
          <t>Pricing records volume over 5 years</t>
        </is>
      </c>
      <c r="E14" s="2" t="inlineStr">
        <is>
          <t>Support 500 million records without performance degradation</t>
        </is>
      </c>
      <c r="F14" s="5" t="inlineStr">
        <is>
          <t>High</t>
        </is>
      </c>
      <c r="G14" s="3" t="inlineStr">
        <is>
          <t>Must</t>
        </is>
      </c>
      <c r="H14" s="2" t="inlineStr">
        <is>
          <t>3000 stores × 50k SKUs × 52 weeks × 5 years ≈ 390M records</t>
        </is>
      </c>
      <c r="I14" s="2" t="inlineStr">
        <is>
          <t>SQL Server table partitioning by EffectiveDate; archival strategy for records &gt; 2 years</t>
        </is>
      </c>
      <c r="J14" s="2" t="inlineStr">
        <is>
          <t>Capacity test: load 100M records, verify search P95 remains &lt; 500ms</t>
        </is>
      </c>
      <c r="K14" s="2" t="inlineStr">
        <is>
          <t>DBA Team</t>
        </is>
      </c>
      <c r="L14" s="2" t="inlineStr">
        <is>
          <t>Annually</t>
        </is>
      </c>
    </row>
    <row r="15">
      <c r="A15" s="4" t="inlineStr">
        <is>
          <t>NFR-SCAL-004</t>
        </is>
      </c>
      <c r="B15" s="4" t="inlineStr">
        <is>
          <t>Scalability</t>
        </is>
      </c>
      <c r="C15" s="4" t="inlineStr">
        <is>
          <t>Onboarding</t>
        </is>
      </c>
      <c r="D15" s="4" t="inlineStr">
        <is>
          <t>New store onboarding</t>
        </is>
      </c>
      <c r="E15" s="4" t="inlineStr">
        <is>
          <t>Add 500 new stores without schema or code changes</t>
        </is>
      </c>
      <c r="F15" s="5" t="inlineStr">
        <is>
          <t>High</t>
        </is>
      </c>
      <c r="G15" s="3" t="inlineStr">
        <is>
          <t>Must</t>
        </is>
      </c>
      <c r="H15" s="4" t="inlineStr">
        <is>
          <t>Chain targets 500 new stores over 3 years</t>
        </is>
      </c>
      <c r="I15" s="4" t="inlineStr">
        <is>
          <t>StoreId is a free-text field with no FK to a store master table at DB level; validated at API layer</t>
        </is>
      </c>
      <c r="J15" s="4" t="inlineStr">
        <is>
          <t>Test: onboard 100 new stores via API, verify uploads work immediately</t>
        </is>
      </c>
      <c r="K15" s="4" t="inlineStr">
        <is>
          <t>Product Team</t>
        </is>
      </c>
      <c r="L15" s="4" t="inlineStr">
        <is>
          <t>Annually</t>
        </is>
      </c>
    </row>
    <row r="16">
      <c r="A16" s="2" t="inlineStr">
        <is>
          <t>NFR-SCAL-005</t>
        </is>
      </c>
      <c r="B16" s="2" t="inlineStr">
        <is>
          <t>Scalability</t>
        </is>
      </c>
      <c r="C16" s="2" t="inlineStr">
        <is>
          <t>Peak Load</t>
        </is>
      </c>
      <c r="D16" s="2" t="inlineStr">
        <is>
          <t>Black Friday / seasonal peak handling</t>
        </is>
      </c>
      <c r="E16" s="2" t="inlineStr">
        <is>
          <t>Sustain 10x normal load for 48 hours without SLA breach</t>
        </is>
      </c>
      <c r="F16" s="3" t="inlineStr">
        <is>
          <t>Critical</t>
        </is>
      </c>
      <c r="G16" s="3" t="inlineStr">
        <is>
          <t>Must</t>
        </is>
      </c>
      <c r="H16" s="2" t="inlineStr">
        <is>
          <t>Pricing updates surge during promotional events</t>
        </is>
      </c>
      <c r="I16" s="2" t="inlineStr">
        <is>
          <t>Pre-scale event: manual HPA min replica override before known peaks; Redis cluster mode</t>
        </is>
      </c>
      <c r="J16" s="2" t="inlineStr">
        <is>
          <t>Seasonal load test: 10x VUs for 48 hours, assert 99.9% success rate</t>
        </is>
      </c>
      <c r="K16" s="2" t="inlineStr">
        <is>
          <t>Platform Team</t>
        </is>
      </c>
      <c r="L16" s="2" t="inlineStr">
        <is>
          <t>Annually</t>
        </is>
      </c>
    </row>
    <row r="17">
      <c r="A17" s="4" t="inlineStr">
        <is>
          <t>NFR-SCAL-006</t>
        </is>
      </c>
      <c r="B17" s="4" t="inlineStr">
        <is>
          <t>Scalability</t>
        </is>
      </c>
      <c r="C17" s="4" t="inlineStr">
        <is>
          <t>Geographic</t>
        </is>
      </c>
      <c r="D17" s="4" t="inlineStr">
        <is>
          <t>Multi-region deployment</t>
        </is>
      </c>
      <c r="E17" s="4" t="inlineStr">
        <is>
          <t>Active deployment in AU, EU, US Azure regions</t>
        </is>
      </c>
      <c r="F17" s="5" t="inlineStr">
        <is>
          <t>High</t>
        </is>
      </c>
      <c r="G17" s="5" t="inlineStr">
        <is>
          <t>Should</t>
        </is>
      </c>
      <c r="H17" s="4" t="inlineStr">
        <is>
          <t>3000 stores across multiple continents; latency-sensitive uploads</t>
        </is>
      </c>
      <c r="I17" s="4" t="inlineStr">
        <is>
          <t>Azure Front Door global load balancer; regional API deployments; shared Azure SQL geo-replication</t>
        </is>
      </c>
      <c r="J17" s="4" t="inlineStr">
        <is>
          <t>Latency test: assert API P95 &lt; 500ms from AU, EU and US origins</t>
        </is>
      </c>
      <c r="K17" s="4" t="inlineStr">
        <is>
          <t>Platform Team</t>
        </is>
      </c>
      <c r="L17" s="4" t="inlineStr">
        <is>
          <t>Annually</t>
        </is>
      </c>
    </row>
    <row r="18">
      <c r="A18" s="2" t="inlineStr">
        <is>
          <t>NFR-SCAL-007</t>
        </is>
      </c>
      <c r="B18" s="2" t="inlineStr">
        <is>
          <t>Scalability</t>
        </is>
      </c>
      <c r="C18" s="2" t="inlineStr">
        <is>
          <t>CDN</t>
        </is>
      </c>
      <c r="D18" s="2" t="inlineStr">
        <is>
          <t>Frontend static asset delivery</t>
        </is>
      </c>
      <c r="E18" s="2" t="inlineStr">
        <is>
          <t>Global P95 CDN response &lt; 100ms for cached assets</t>
        </is>
      </c>
      <c r="F18" s="6" t="inlineStr">
        <is>
          <t>Medium</t>
        </is>
      </c>
      <c r="G18" s="5" t="inlineStr">
        <is>
          <t>Should</t>
        </is>
      </c>
      <c r="H18" s="2" t="inlineStr">
        <is>
          <t>Store managers in remote locations need fast UI load</t>
        </is>
      </c>
      <c r="I18" s="2" t="inlineStr">
        <is>
          <t>Webpack chunked output deployed to Azure CDN with long-lived cache headers</t>
        </is>
      </c>
      <c r="J18" s="2" t="inlineStr">
        <is>
          <t>Synthetic monitor from 5 regions: assert CDN response &lt; 100ms</t>
        </is>
      </c>
      <c r="K18" s="2" t="inlineStr">
        <is>
          <t>Frontend Team</t>
        </is>
      </c>
      <c r="L18" s="2" t="inlineStr">
        <is>
          <t>Quarterly</t>
        </is>
      </c>
    </row>
    <row r="19">
      <c r="A19" s="4" t="inlineStr">
        <is>
          <t>NFR-SCAL-008</t>
        </is>
      </c>
      <c r="B19" s="4" t="inlineStr">
        <is>
          <t>Scalability</t>
        </is>
      </c>
      <c r="C19" s="4" t="inlineStr">
        <is>
          <t>Messaging</t>
        </is>
      </c>
      <c r="D19" s="4" t="inlineStr">
        <is>
          <t>Upload queue backlog capacity</t>
        </is>
      </c>
      <c r="E19" s="4" t="inlineStr">
        <is>
          <t>Handle 1 million queued upload jobs without message loss</t>
        </is>
      </c>
      <c r="F19" s="5" t="inlineStr">
        <is>
          <t>High</t>
        </is>
      </c>
      <c r="G19" s="5" t="inlineStr">
        <is>
          <t>Should</t>
        </is>
      </c>
      <c r="H19" s="4" t="inlineStr">
        <is>
          <t>Network outages may cause stores to retry uploads in bulk</t>
        </is>
      </c>
      <c r="I19" s="4" t="inlineStr">
        <is>
          <t>Azure Service Bus Premium tier with 80GB storage; dead-letter queue for failed messages</t>
        </is>
      </c>
      <c r="J19" s="4" t="inlineStr">
        <is>
          <t>Stress test: publish 1M messages, verify all processed with no loss</t>
        </is>
      </c>
      <c r="K19" s="4" t="inlineStr">
        <is>
          <t>Platform Team</t>
        </is>
      </c>
      <c r="L19" s="4" t="inlineStr">
        <is>
          <t>Quarterly</t>
        </is>
      </c>
    </row>
    <row r="20">
      <c r="A20" s="2" t="inlineStr">
        <is>
          <t>NFR-AVAIL-001</t>
        </is>
      </c>
      <c r="B20" s="2" t="inlineStr">
        <is>
          <t>Availability</t>
        </is>
      </c>
      <c r="C20" s="2" t="inlineStr">
        <is>
          <t>Uptime</t>
        </is>
      </c>
      <c r="D20" s="2" t="inlineStr">
        <is>
          <t>Overall system uptime SLA</t>
        </is>
      </c>
      <c r="E20" s="2" t="inlineStr">
        <is>
          <t>99.9% uptime (max 8.7 hours unplanned downtime per year)</t>
        </is>
      </c>
      <c r="F20" s="3" t="inlineStr">
        <is>
          <t>Critical</t>
        </is>
      </c>
      <c r="G20" s="3" t="inlineStr">
        <is>
          <t>Must</t>
        </is>
      </c>
      <c r="H20" s="2" t="inlineStr">
        <is>
          <t>Store operations depend on pricing data being accessible</t>
        </is>
      </c>
      <c r="I20" s="2" t="inlineStr">
        <is>
          <t>Multi-zone AKS deployment; Azure SQL zone-redundant configuration; Azure CDN</t>
        </is>
      </c>
      <c r="J20" s="2" t="inlineStr">
        <is>
          <t>Monthly uptime report from Azure Monitor SLA dashboard</t>
        </is>
      </c>
      <c r="K20" s="2" t="inlineStr">
        <is>
          <t>Platform Team</t>
        </is>
      </c>
      <c r="L20" s="2" t="inlineStr">
        <is>
          <t>Monthly</t>
        </is>
      </c>
    </row>
    <row r="21">
      <c r="A21" s="4" t="inlineStr">
        <is>
          <t>NFR-AVAIL-002</t>
        </is>
      </c>
      <c r="B21" s="4" t="inlineStr">
        <is>
          <t>Availability</t>
        </is>
      </c>
      <c r="C21" s="4" t="inlineStr">
        <is>
          <t>Maintenance</t>
        </is>
      </c>
      <c r="D21" s="4" t="inlineStr">
        <is>
          <t>Planned maintenance window</t>
        </is>
      </c>
      <c r="E21" s="4" t="inlineStr">
        <is>
          <t>Maximum 2 hours per month; scheduled off-peak (02:00–04:00 local)</t>
        </is>
      </c>
      <c r="F21" s="5" t="inlineStr">
        <is>
          <t>High</t>
        </is>
      </c>
      <c r="G21" s="3" t="inlineStr">
        <is>
          <t>Must</t>
        </is>
      </c>
      <c r="H21" s="4" t="inlineStr">
        <is>
          <t>Stores operate 06:00–22:00 locally across time zones</t>
        </is>
      </c>
      <c r="I21" s="4" t="inlineStr">
        <is>
          <t>Blue/green Kubernetes deployments enable zero-downtime releases; DB maintenance via read replicas</t>
        </is>
      </c>
      <c r="J21" s="4" t="inlineStr">
        <is>
          <t>Track actual vs planned downtime in incident management system</t>
        </is>
      </c>
      <c r="K21" s="4" t="inlineStr">
        <is>
          <t>Platform Team</t>
        </is>
      </c>
      <c r="L21" s="4" t="inlineStr">
        <is>
          <t>Monthly</t>
        </is>
      </c>
    </row>
    <row r="22">
      <c r="A22" s="2" t="inlineStr">
        <is>
          <t>NFR-AVAIL-003</t>
        </is>
      </c>
      <c r="B22" s="2" t="inlineStr">
        <is>
          <t>Availability</t>
        </is>
      </c>
      <c r="C22" s="2" t="inlineStr">
        <is>
          <t>Upload Service</t>
        </is>
      </c>
      <c r="D22" s="2" t="inlineStr">
        <is>
          <t>Upload service availability</t>
        </is>
      </c>
      <c r="E22" s="2" t="inlineStr">
        <is>
          <t>99.5% availability (stores upload daily feeds)</t>
        </is>
      </c>
      <c r="F22" s="3" t="inlineStr">
        <is>
          <t>Critical</t>
        </is>
      </c>
      <c r="G22" s="3" t="inlineStr">
        <is>
          <t>Must</t>
        </is>
      </c>
      <c r="H22" s="2" t="inlineStr">
        <is>
          <t>Failed upload = missing prices = compliance risk for stores</t>
        </is>
      </c>
      <c r="I22" s="2" t="inlineStr">
        <is>
          <t>Upload API backed by Azure Service Bus; if API down, stores retry via queue</t>
        </is>
      </c>
      <c r="J22" s="2" t="inlineStr">
        <is>
          <t>Monthly SLA report; alert if availability drops below 99.5%</t>
        </is>
      </c>
      <c r="K22" s="2" t="inlineStr">
        <is>
          <t>Platform Team</t>
        </is>
      </c>
      <c r="L22" s="2" t="inlineStr">
        <is>
          <t>Monthly</t>
        </is>
      </c>
    </row>
    <row r="23">
      <c r="A23" s="4" t="inlineStr">
        <is>
          <t>NFR-AVAIL-004</t>
        </is>
      </c>
      <c r="B23" s="4" t="inlineStr">
        <is>
          <t>Availability</t>
        </is>
      </c>
      <c r="C23" s="4" t="inlineStr">
        <is>
          <t>Search Service</t>
        </is>
      </c>
      <c r="D23" s="4" t="inlineStr">
        <is>
          <t>Search service availability</t>
        </is>
      </c>
      <c r="E23" s="4" t="inlineStr">
        <is>
          <t>99.9% availability</t>
        </is>
      </c>
      <c r="F23" s="3" t="inlineStr">
        <is>
          <t>Critical</t>
        </is>
      </c>
      <c r="G23" s="3" t="inlineStr">
        <is>
          <t>Must</t>
        </is>
      </c>
      <c r="H23" s="4" t="inlineStr">
        <is>
          <t>Analysts and store managers query prices throughout the day</t>
        </is>
      </c>
      <c r="I23" s="4" t="inlineStr">
        <is>
          <t>Search reads from read replica; Redis cache serves stale data during DB maintenance</t>
        </is>
      </c>
      <c r="J23" s="4" t="inlineStr">
        <is>
          <t>Synthetic monitor every 5 minutes; alert on failure</t>
        </is>
      </c>
      <c r="K23" s="4" t="inlineStr">
        <is>
          <t>Platform Team</t>
        </is>
      </c>
      <c r="L23" s="4" t="inlineStr">
        <is>
          <t>Monthly</t>
        </is>
      </c>
    </row>
    <row r="24">
      <c r="A24" s="2" t="inlineStr">
        <is>
          <t>NFR-AVAIL-005</t>
        </is>
      </c>
      <c r="B24" s="2" t="inlineStr">
        <is>
          <t>Availability</t>
        </is>
      </c>
      <c r="C24" s="2" t="inlineStr">
        <is>
          <t>Recovery</t>
        </is>
      </c>
      <c r="D24" s="2" t="inlineStr">
        <is>
          <t>Recovery Time Objective (RTO)</t>
        </is>
      </c>
      <c r="E24" s="2" t="inlineStr">
        <is>
          <t>&lt; 1 hour for P1 outages</t>
        </is>
      </c>
      <c r="F24" s="3" t="inlineStr">
        <is>
          <t>Critical</t>
        </is>
      </c>
      <c r="G24" s="3" t="inlineStr">
        <is>
          <t>Must</t>
        </is>
      </c>
      <c r="H24" s="2" t="inlineStr">
        <is>
          <t>Every hour of downtime affects 3000 stores pricing operations</t>
        </is>
      </c>
      <c r="I24" s="2" t="inlineStr">
        <is>
          <t>Azure SQL auto-failover group; runbooks automated via Azure Automation</t>
        </is>
      </c>
      <c r="J24" s="2" t="inlineStr">
        <is>
          <t>Quarterly DR drill: measure actual RTO against target</t>
        </is>
      </c>
      <c r="K24" s="2" t="inlineStr">
        <is>
          <t>Platform Team</t>
        </is>
      </c>
      <c r="L24" s="2" t="inlineStr">
        <is>
          <t>Quarterly</t>
        </is>
      </c>
    </row>
    <row r="25">
      <c r="A25" s="4" t="inlineStr">
        <is>
          <t>NFR-AVAIL-006</t>
        </is>
      </c>
      <c r="B25" s="4" t="inlineStr">
        <is>
          <t>Availability</t>
        </is>
      </c>
      <c r="C25" s="4" t="inlineStr">
        <is>
          <t>Recovery</t>
        </is>
      </c>
      <c r="D25" s="4" t="inlineStr">
        <is>
          <t>Recovery Point Objective (RPO)</t>
        </is>
      </c>
      <c r="E25" s="4" t="inlineStr">
        <is>
          <t>&lt; 15 minutes data loss in worst-case failure</t>
        </is>
      </c>
      <c r="F25" s="3" t="inlineStr">
        <is>
          <t>Critical</t>
        </is>
      </c>
      <c r="G25" s="3" t="inlineStr">
        <is>
          <t>Must</t>
        </is>
      </c>
      <c r="H25" s="4" t="inlineStr">
        <is>
          <t>Pricing changes are financial commitments; data loss = discrepancies</t>
        </is>
      </c>
      <c r="I25" s="4" t="inlineStr">
        <is>
          <t>Azure SQL transaction log shipping every 5 minutes to secondary region</t>
        </is>
      </c>
      <c r="J25" s="4" t="inlineStr">
        <is>
          <t>Quarterly DR drill: verify RPO by checking last committed transaction timestamp</t>
        </is>
      </c>
      <c r="K25" s="4" t="inlineStr">
        <is>
          <t>Platform Team</t>
        </is>
      </c>
      <c r="L25" s="4" t="inlineStr">
        <is>
          <t>Quarterly</t>
        </is>
      </c>
    </row>
    <row r="26">
      <c r="A26" s="2" t="inlineStr">
        <is>
          <t>NFR-AVAIL-007</t>
        </is>
      </c>
      <c r="B26" s="2" t="inlineStr">
        <is>
          <t>Availability</t>
        </is>
      </c>
      <c r="C26" s="2" t="inlineStr">
        <is>
          <t>Resilience</t>
        </is>
      </c>
      <c r="D26" s="2" t="inlineStr">
        <is>
          <t>Circuit breaker for downstream failures</t>
        </is>
      </c>
      <c r="E26" s="2" t="inlineStr">
        <is>
          <t>Downstream failures isolated within 5 seconds; fallback served</t>
        </is>
      </c>
      <c r="F26" s="5" t="inlineStr">
        <is>
          <t>High</t>
        </is>
      </c>
      <c r="G26" s="3" t="inlineStr">
        <is>
          <t>Must</t>
        </is>
      </c>
      <c r="H26" s="2" t="inlineStr">
        <is>
          <t>Redis or DB transient failures must not cascade to API layer</t>
        </is>
      </c>
      <c r="I26" s="2" t="inlineStr">
        <is>
          <t>Polly circuit breaker policy on all infrastructure calls; cached fallback for search</t>
        </is>
      </c>
      <c r="J26" s="2" t="inlineStr">
        <is>
          <t>Chaos test: kill Redis; verify API returns stale cache or graceful error within 5s</t>
        </is>
      </c>
      <c r="K26" s="2" t="inlineStr">
        <is>
          <t>Platform Team</t>
        </is>
      </c>
      <c r="L26" s="2" t="inlineStr">
        <is>
          <t>Quarterly</t>
        </is>
      </c>
    </row>
    <row r="27">
      <c r="A27" s="4" t="inlineStr">
        <is>
          <t>NFR-AVAIL-008</t>
        </is>
      </c>
      <c r="B27" s="4" t="inlineStr">
        <is>
          <t>Availability</t>
        </is>
      </c>
      <c r="C27" s="4" t="inlineStr">
        <is>
          <t>Health</t>
        </is>
      </c>
      <c r="D27" s="4" t="inlineStr">
        <is>
          <t>Health check endpoint response</t>
        </is>
      </c>
      <c r="E27" s="4" t="inlineStr">
        <is>
          <t>/health responds within 200ms; returns 200 or 503</t>
        </is>
      </c>
      <c r="F27" s="5" t="inlineStr">
        <is>
          <t>High</t>
        </is>
      </c>
      <c r="G27" s="3" t="inlineStr">
        <is>
          <t>Must</t>
        </is>
      </c>
      <c r="H27" s="4" t="inlineStr">
        <is>
          <t>Kubernetes liveness/readiness probes depend on health endpoint</t>
        </is>
      </c>
      <c r="I27" s="4" t="inlineStr">
        <is>
          <t>ASP.NET Core HealthChecks middleware checking DB, Redis, and blob storage</t>
        </is>
      </c>
      <c r="J27" s="4" t="inlineStr">
        <is>
          <t>Integration test: call /health, assert 200 and &lt; 200ms response</t>
        </is>
      </c>
      <c r="K27" s="4" t="inlineStr">
        <is>
          <t>Platform Team</t>
        </is>
      </c>
      <c r="L27" s="4" t="inlineStr">
        <is>
          <t>Continuously</t>
        </is>
      </c>
    </row>
    <row r="28">
      <c r="A28" s="2" t="inlineStr">
        <is>
          <t>NFR-SEC-001</t>
        </is>
      </c>
      <c r="B28" s="2" t="inlineStr">
        <is>
          <t>Security</t>
        </is>
      </c>
      <c r="C28" s="2" t="inlineStr">
        <is>
          <t>Authentication</t>
        </is>
      </c>
      <c r="D28" s="2" t="inlineStr">
        <is>
          <t>User authentication standard</t>
        </is>
      </c>
      <c r="E28" s="2" t="inlineStr">
        <is>
          <t>OIDC/OAuth2 via Azure AD; MFA enforced for all users</t>
        </is>
      </c>
      <c r="F28" s="3" t="inlineStr">
        <is>
          <t>Critical</t>
        </is>
      </c>
      <c r="G28" s="3" t="inlineStr">
        <is>
          <t>Must</t>
        </is>
      </c>
      <c r="H28" s="2" t="inlineStr">
        <is>
          <t>3000-store chain is a high-value target; account takeover risk</t>
        </is>
      </c>
      <c r="I28" s="2" t="inlineStr">
        <is>
          <t>Microsoft.Identity.Web OIDC middleware; Conditional Access policy enforces MFA</t>
        </is>
      </c>
      <c r="J28" s="2" t="inlineStr">
        <is>
          <t>Security audit; penetration test; verify MFA enforcement in Azure AD</t>
        </is>
      </c>
      <c r="K28" s="2" t="inlineStr">
        <is>
          <t>Security Team</t>
        </is>
      </c>
      <c r="L28" s="2" t="inlineStr">
        <is>
          <t>Annually</t>
        </is>
      </c>
    </row>
    <row r="29">
      <c r="A29" s="4" t="inlineStr">
        <is>
          <t>NFR-SEC-002</t>
        </is>
      </c>
      <c r="B29" s="4" t="inlineStr">
        <is>
          <t>Security</t>
        </is>
      </c>
      <c r="C29" s="4" t="inlineStr">
        <is>
          <t>Authorisation</t>
        </is>
      </c>
      <c r="D29" s="4" t="inlineStr">
        <is>
          <t>Role-based access control</t>
        </is>
      </c>
      <c r="E29" s="4" t="inlineStr">
        <is>
          <t>RBAC: Store Manager (own store only), Analyst (read-all), Admin (read-write-all)</t>
        </is>
      </c>
      <c r="F29" s="3" t="inlineStr">
        <is>
          <t>Critical</t>
        </is>
      </c>
      <c r="G29" s="3" t="inlineStr">
        <is>
          <t>Must</t>
        </is>
      </c>
      <c r="H29" s="4" t="inlineStr">
        <is>
          <t>Store managers must not access competitor store pricing</t>
        </is>
      </c>
      <c r="I29" s="4" t="inlineStr">
        <is>
          <t>JWT role claims validated in ASP.NET Core policy; StoreId claim compared to requested resource</t>
        </is>
      </c>
      <c r="J29" s="4" t="inlineStr">
        <is>
          <t>Unit tests for each role; integration test cross-store access is denied</t>
        </is>
      </c>
      <c r="K29" s="4" t="inlineStr">
        <is>
          <t>Security Team</t>
        </is>
      </c>
      <c r="L29" s="4" t="inlineStr">
        <is>
          <t>Quarterly</t>
        </is>
      </c>
    </row>
    <row r="30">
      <c r="A30" s="2" t="inlineStr">
        <is>
          <t>NFR-SEC-003</t>
        </is>
      </c>
      <c r="B30" s="2" t="inlineStr">
        <is>
          <t>Security</t>
        </is>
      </c>
      <c r="C30" s="2" t="inlineStr">
        <is>
          <t>Transport</t>
        </is>
      </c>
      <c r="D30" s="2" t="inlineStr">
        <is>
          <t>Encryption in transit</t>
        </is>
      </c>
      <c r="E30" s="2" t="inlineStr">
        <is>
          <t>TLS 1.2+ enforced on all API and frontend endpoints; TLS 1.0/1.1 disabled</t>
        </is>
      </c>
      <c r="F30" s="3" t="inlineStr">
        <is>
          <t>Critical</t>
        </is>
      </c>
      <c r="G30" s="3" t="inlineStr">
        <is>
          <t>Must</t>
        </is>
      </c>
      <c r="H30" s="2" t="inlineStr">
        <is>
          <t>Pricing data is commercially sensitive; interception risk on WAN</t>
        </is>
      </c>
      <c r="I30" s="2" t="inlineStr">
        <is>
          <t>Azure API Management TLS policy; HSTS header on all responses</t>
        </is>
      </c>
      <c r="J30" s="2" t="inlineStr">
        <is>
          <t>SSL Labs scan: assert A+ rating</t>
        </is>
      </c>
      <c r="K30" s="2" t="inlineStr">
        <is>
          <t>Security Team</t>
        </is>
      </c>
      <c r="L30" s="2" t="inlineStr">
        <is>
          <t>Quarterly</t>
        </is>
      </c>
    </row>
    <row r="31">
      <c r="A31" s="4" t="inlineStr">
        <is>
          <t>NFR-SEC-004</t>
        </is>
      </c>
      <c r="B31" s="4" t="inlineStr">
        <is>
          <t>Security</t>
        </is>
      </c>
      <c r="C31" s="4" t="inlineStr">
        <is>
          <t>Storage</t>
        </is>
      </c>
      <c r="D31" s="4" t="inlineStr">
        <is>
          <t>Encryption at rest</t>
        </is>
      </c>
      <c r="E31" s="4" t="inlineStr">
        <is>
          <t>AES-256 encryption on Azure SQL and Blob Storage</t>
        </is>
      </c>
      <c r="F31" s="3" t="inlineStr">
        <is>
          <t>Critical</t>
        </is>
      </c>
      <c r="G31" s="3" t="inlineStr">
        <is>
          <t>Must</t>
        </is>
      </c>
      <c r="H31" s="4" t="inlineStr">
        <is>
          <t>Regulatory requirement and protection against storage-layer breach</t>
        </is>
      </c>
      <c r="I31" s="4" t="inlineStr">
        <is>
          <t>Azure SQL Transparent Data Encryption (TDE); Azure Blob Storage service encryption</t>
        </is>
      </c>
      <c r="J31" s="4" t="inlineStr">
        <is>
          <t>Verify TDE enabled via Azure Security Centre; annual audit</t>
        </is>
      </c>
      <c r="K31" s="4" t="inlineStr">
        <is>
          <t>Security Team</t>
        </is>
      </c>
      <c r="L31" s="4" t="inlineStr">
        <is>
          <t>Annually</t>
        </is>
      </c>
    </row>
    <row r="32">
      <c r="A32" s="2" t="inlineStr">
        <is>
          <t>NFR-SEC-005</t>
        </is>
      </c>
      <c r="B32" s="2" t="inlineStr">
        <is>
          <t>Security</t>
        </is>
      </c>
      <c r="C32" s="2" t="inlineStr">
        <is>
          <t>Rate Limiting</t>
        </is>
      </c>
      <c r="D32" s="2" t="inlineStr">
        <is>
          <t>API rate limiting</t>
        </is>
      </c>
      <c r="E32" s="2" t="inlineStr">
        <is>
          <t>1000 requests/minute per authenticated user; 10000/min per service account</t>
        </is>
      </c>
      <c r="F32" s="5" t="inlineStr">
        <is>
          <t>High</t>
        </is>
      </c>
      <c r="G32" s="3" t="inlineStr">
        <is>
          <t>Must</t>
        </is>
      </c>
      <c r="H32" s="2" t="inlineStr">
        <is>
          <t>Prevent brute-force, scraping and accidental denial-of-service</t>
        </is>
      </c>
      <c r="I32" s="2" t="inlineStr">
        <is>
          <t>Azure API Management rate-limit-by-key policy per JWT subject claim</t>
        </is>
      </c>
      <c r="J32" s="2" t="inlineStr">
        <is>
          <t>Test: exceed limit, assert 429 Too Many Requests returned</t>
        </is>
      </c>
      <c r="K32" s="2" t="inlineStr">
        <is>
          <t>Security Team</t>
        </is>
      </c>
      <c r="L32" s="2" t="inlineStr">
        <is>
          <t>Quarterly</t>
        </is>
      </c>
    </row>
    <row r="33">
      <c r="A33" s="4" t="inlineStr">
        <is>
          <t>NFR-SEC-006</t>
        </is>
      </c>
      <c r="B33" s="4" t="inlineStr">
        <is>
          <t>Security</t>
        </is>
      </c>
      <c r="C33" s="4" t="inlineStr">
        <is>
          <t>Input Validation</t>
        </is>
      </c>
      <c r="D33" s="4" t="inlineStr">
        <is>
          <t>Input sanitisation and injection prevention</t>
        </is>
      </c>
      <c r="E33" s="4" t="inlineStr">
        <is>
          <t>All inputs validated; SQL injection and XSS attacks rejected with 400</t>
        </is>
      </c>
      <c r="F33" s="3" t="inlineStr">
        <is>
          <t>Critical</t>
        </is>
      </c>
      <c r="G33" s="3" t="inlineStr">
        <is>
          <t>Must</t>
        </is>
      </c>
      <c r="H33" s="4" t="inlineStr">
        <is>
          <t>CSV upload and search fields are user-controlled inputs</t>
        </is>
      </c>
      <c r="I33" s="4" t="inlineStr">
        <is>
          <t>FluentValidation on all commands; EF Core parameterised queries; CSP headers on frontend</t>
        </is>
      </c>
      <c r="J33" s="4" t="inlineStr">
        <is>
          <t>OWASP ZAP automated scan; SQL injection test suite</t>
        </is>
      </c>
      <c r="K33" s="4" t="inlineStr">
        <is>
          <t>Security Team</t>
        </is>
      </c>
      <c r="L33" s="4" t="inlineStr">
        <is>
          <t>Quarterly</t>
        </is>
      </c>
    </row>
    <row r="34">
      <c r="A34" s="2" t="inlineStr">
        <is>
          <t>NFR-SEC-007</t>
        </is>
      </c>
      <c r="B34" s="2" t="inlineStr">
        <is>
          <t>Security</t>
        </is>
      </c>
      <c r="C34" s="2" t="inlineStr">
        <is>
          <t>Audit</t>
        </is>
      </c>
      <c r="D34" s="2" t="inlineStr">
        <is>
          <t>Audit logging for data changes</t>
        </is>
      </c>
      <c r="E34" s="2" t="inlineStr">
        <is>
          <t>All create/update operations logged with user identity and UTC timestamp</t>
        </is>
      </c>
      <c r="F34" s="3" t="inlineStr">
        <is>
          <t>Critical</t>
        </is>
      </c>
      <c r="G34" s="3" t="inlineStr">
        <is>
          <t>Must</t>
        </is>
      </c>
      <c r="H34" s="2" t="inlineStr">
        <is>
          <t>Regulatory and compliance requirement; fraud detection</t>
        </is>
      </c>
      <c r="I34" s="2" t="inlineStr">
        <is>
          <t>AuditableEntity base class captures CreatedBy/LastModifiedBy; Application Insights structured logs</t>
        </is>
      </c>
      <c r="J34" s="2" t="inlineStr">
        <is>
          <t>Audit log review in quarterly compliance check; alert on bulk modifications</t>
        </is>
      </c>
      <c r="K34" s="2" t="inlineStr">
        <is>
          <t>Compliance Team</t>
        </is>
      </c>
      <c r="L34" s="2" t="inlineStr">
        <is>
          <t>Quarterly</t>
        </is>
      </c>
    </row>
    <row r="35">
      <c r="A35" s="4" t="inlineStr">
        <is>
          <t>NFR-SEC-008</t>
        </is>
      </c>
      <c r="B35" s="4" t="inlineStr">
        <is>
          <t>Security</t>
        </is>
      </c>
      <c r="C35" s="4" t="inlineStr">
        <is>
          <t>Session</t>
        </is>
      </c>
      <c r="D35" s="4" t="inlineStr">
        <is>
          <t>Session timeout</t>
        </is>
      </c>
      <c r="E35" s="4" t="inlineStr">
        <is>
          <t>Idle sessions expire after 30 minutes; absolute timeout 8 hours</t>
        </is>
      </c>
      <c r="F35" s="5" t="inlineStr">
        <is>
          <t>High</t>
        </is>
      </c>
      <c r="G35" s="3" t="inlineStr">
        <is>
          <t>Must</t>
        </is>
      </c>
      <c r="H35" s="4" t="inlineStr">
        <is>
          <t>Shared terminal risk in store environments</t>
        </is>
      </c>
      <c r="I35" s="4" t="inlineStr">
        <is>
          <t>Azure AD Conditional Access session control; frontend Redux state cleared on token expiry</t>
        </is>
      </c>
      <c r="J35" s="4" t="inlineStr">
        <is>
          <t>Manual test: verify session expires after 30 min idle</t>
        </is>
      </c>
      <c r="K35" s="4" t="inlineStr">
        <is>
          <t>Security Team</t>
        </is>
      </c>
      <c r="L35" s="4" t="inlineStr">
        <is>
          <t>Annually</t>
        </is>
      </c>
    </row>
    <row r="36">
      <c r="A36" s="2" t="inlineStr">
        <is>
          <t>NFR-SEC-009</t>
        </is>
      </c>
      <c r="B36" s="2" t="inlineStr">
        <is>
          <t>Security</t>
        </is>
      </c>
      <c r="C36" s="2" t="inlineStr">
        <is>
          <t>Secrets</t>
        </is>
      </c>
      <c r="D36" s="2" t="inlineStr">
        <is>
          <t>Secrets management</t>
        </is>
      </c>
      <c r="E36" s="2" t="inlineStr">
        <is>
          <t>No credentials in source code or config files; all secrets in Azure Key Vault</t>
        </is>
      </c>
      <c r="F36" s="3" t="inlineStr">
        <is>
          <t>Critical</t>
        </is>
      </c>
      <c r="G36" s="3" t="inlineStr">
        <is>
          <t>Must</t>
        </is>
      </c>
      <c r="H36" s="2" t="inlineStr">
        <is>
          <t>Source code is stored in a shared repository; secrets exposure risk</t>
        </is>
      </c>
      <c r="I36" s="2" t="inlineStr">
        <is>
          <t>Microsoft.Extensions.Configuration.AzureKeyVault; GitHub secret scanning enabled</t>
        </is>
      </c>
      <c r="J36" s="2" t="inlineStr">
        <is>
          <t>CI pipeline runs truffleHog secret scan on every commit</t>
        </is>
      </c>
      <c r="K36" s="2" t="inlineStr">
        <is>
          <t>Security Team</t>
        </is>
      </c>
      <c r="L36" s="2" t="inlineStr">
        <is>
          <t>Continuously</t>
        </is>
      </c>
    </row>
    <row r="37">
      <c r="A37" s="4" t="inlineStr">
        <is>
          <t>NFR-SEC-010</t>
        </is>
      </c>
      <c r="B37" s="4" t="inlineStr">
        <is>
          <t>Security</t>
        </is>
      </c>
      <c r="C37" s="4" t="inlineStr">
        <is>
          <t>Penetration Testing</t>
        </is>
      </c>
      <c r="D37" s="4" t="inlineStr">
        <is>
          <t>Annual penetration test</t>
        </is>
      </c>
      <c r="E37" s="4" t="inlineStr">
        <is>
          <t>All Critical and High findings remediated within 30 days</t>
        </is>
      </c>
      <c r="F37" s="5" t="inlineStr">
        <is>
          <t>High</t>
        </is>
      </c>
      <c r="G37" s="3" t="inlineStr">
        <is>
          <t>Must</t>
        </is>
      </c>
      <c r="H37" s="4" t="inlineStr">
        <is>
          <t>Industry standard for systems handling commercial pricing data</t>
        </is>
      </c>
      <c r="I37" s="4" t="inlineStr">
        <is>
          <t>Architecture designed for least-privilege; network segmentation via VNet</t>
        </is>
      </c>
      <c r="J37" s="4" t="inlineStr">
        <is>
          <t>Annual external pen test by accredited vendor</t>
        </is>
      </c>
      <c r="K37" s="4" t="inlineStr">
        <is>
          <t>Security Team</t>
        </is>
      </c>
      <c r="L37" s="4" t="inlineStr">
        <is>
          <t>Annually</t>
        </is>
      </c>
    </row>
    <row r="38">
      <c r="A38" s="2" t="inlineStr">
        <is>
          <t>NFR-SEC-011</t>
        </is>
      </c>
      <c r="B38" s="2" t="inlineStr">
        <is>
          <t>Security</t>
        </is>
      </c>
      <c r="C38" s="2" t="inlineStr">
        <is>
          <t>File Scanning</t>
        </is>
      </c>
      <c r="D38" s="2" t="inlineStr">
        <is>
          <t>Uploaded file malware scanning</t>
        </is>
      </c>
      <c r="E38" s="2" t="inlineStr">
        <is>
          <t>CSV files scanned before processing; infected files rejected with 422</t>
        </is>
      </c>
      <c r="F38" s="5" t="inlineStr">
        <is>
          <t>High</t>
        </is>
      </c>
      <c r="G38" s="3" t="inlineStr">
        <is>
          <t>Must</t>
        </is>
      </c>
      <c r="H38" s="2" t="inlineStr">
        <is>
          <t>CSV upload is an external file ingestion point; malware vector</t>
        </is>
      </c>
      <c r="I38" s="2" t="inlineStr">
        <is>
          <t>Azure Defender for Storage antimalware scanning on Blob upload event</t>
        </is>
      </c>
      <c r="J38" s="2" t="inlineStr">
        <is>
          <t>Upload known EICAR test file; assert rejected before parsing</t>
        </is>
      </c>
      <c r="K38" s="2" t="inlineStr">
        <is>
          <t>Security Team</t>
        </is>
      </c>
      <c r="L38" s="2" t="inlineStr">
        <is>
          <t>Quarterly</t>
        </is>
      </c>
    </row>
    <row r="39">
      <c r="A39" s="4" t="inlineStr">
        <is>
          <t>NFR-SEC-012</t>
        </is>
      </c>
      <c r="B39" s="4" t="inlineStr">
        <is>
          <t>Security</t>
        </is>
      </c>
      <c r="C39" s="4" t="inlineStr">
        <is>
          <t>Data Isolation</t>
        </is>
      </c>
      <c r="D39" s="4" t="inlineStr">
        <is>
          <t>Store data isolation</t>
        </is>
      </c>
      <c r="E39" s="4" t="inlineStr">
        <is>
          <t>Store managers can only read/write their own store's data</t>
        </is>
      </c>
      <c r="F39" s="3" t="inlineStr">
        <is>
          <t>Critical</t>
        </is>
      </c>
      <c r="G39" s="3" t="inlineStr">
        <is>
          <t>Must</t>
        </is>
      </c>
      <c r="H39" s="4" t="inlineStr">
        <is>
          <t>Commercially sensitive: Store A must not see Store B's pricing strategy</t>
        </is>
      </c>
      <c r="I39" s="4" t="inlineStr">
        <is>
          <t>JWT StoreId claim validated against requested StoreId on every API call</t>
        </is>
      </c>
      <c r="J39" s="4" t="inlineStr">
        <is>
          <t>Integration test: store manager A calls store B endpoint; assert 403 Forbidden</t>
        </is>
      </c>
      <c r="K39" s="4" t="inlineStr">
        <is>
          <t>Security Team</t>
        </is>
      </c>
      <c r="L39" s="4" t="inlineStr">
        <is>
          <t>Quarterly</t>
        </is>
      </c>
    </row>
    <row r="40">
      <c r="A40" s="2" t="inlineStr">
        <is>
          <t>NFR-COMP-001</t>
        </is>
      </c>
      <c r="B40" s="2" t="inlineStr">
        <is>
          <t>Compliance</t>
        </is>
      </c>
      <c r="C40" s="2" t="inlineStr">
        <is>
          <t>Privacy</t>
        </is>
      </c>
      <c r="D40" s="2" t="inlineStr">
        <is>
          <t>GDPR compliance</t>
        </is>
      </c>
      <c r="E40" s="2" t="inlineStr">
        <is>
          <t>Right to erasure fulfilled within 30 days; data minimisation applied</t>
        </is>
      </c>
      <c r="F40" s="3" t="inlineStr">
        <is>
          <t>Critical</t>
        </is>
      </c>
      <c r="G40" s="3" t="inlineStr">
        <is>
          <t>Must</t>
        </is>
      </c>
      <c r="H40" s="2" t="inlineStr">
        <is>
          <t>EU stores fall under GDPR; personal data in user audit logs</t>
        </is>
      </c>
      <c r="I40" s="2" t="inlineStr">
        <is>
          <t>Audit logs contain user ID not PII; right-to-erasure process documented</t>
        </is>
      </c>
      <c r="J40" s="2" t="inlineStr">
        <is>
          <t>Annual GDPR audit; DPIA completed before go-live</t>
        </is>
      </c>
      <c r="K40" s="2" t="inlineStr">
        <is>
          <t>Compliance Team</t>
        </is>
      </c>
      <c r="L40" s="2" t="inlineStr">
        <is>
          <t>Annually</t>
        </is>
      </c>
    </row>
    <row r="41">
      <c r="A41" s="4" t="inlineStr">
        <is>
          <t>NFR-COMP-002</t>
        </is>
      </c>
      <c r="B41" s="4" t="inlineStr">
        <is>
          <t>Compliance</t>
        </is>
      </c>
      <c r="C41" s="4" t="inlineStr">
        <is>
          <t>Data Residency</t>
        </is>
      </c>
      <c r="D41" s="4" t="inlineStr">
        <is>
          <t>AU data residency</t>
        </is>
      </c>
      <c r="E41" s="4" t="inlineStr">
        <is>
          <t>Australian store data stored exclusively in Azure Australia East</t>
        </is>
      </c>
      <c r="F41" s="3" t="inlineStr">
        <is>
          <t>Critical</t>
        </is>
      </c>
      <c r="G41" s="3" t="inlineStr">
        <is>
          <t>Must</t>
        </is>
      </c>
      <c r="H41" s="4" t="inlineStr">
        <is>
          <t>Australian Privacy Act and retail chain policy</t>
        </is>
      </c>
      <c r="I41" s="4" t="inlineStr">
        <is>
          <t>Azure SQL and Blob Storage provisioned in australiaeast; geo-replication to australiasoutheast only</t>
        </is>
      </c>
      <c r="J41" s="4" t="inlineStr">
        <is>
          <t>Verify via Azure Policy: deny deployments outside AU regions</t>
        </is>
      </c>
      <c r="K41" s="4" t="inlineStr">
        <is>
          <t>Compliance Team</t>
        </is>
      </c>
      <c r="L41" s="4" t="inlineStr">
        <is>
          <t>Annually</t>
        </is>
      </c>
    </row>
    <row r="42">
      <c r="A42" s="2" t="inlineStr">
        <is>
          <t>NFR-COMP-003</t>
        </is>
      </c>
      <c r="B42" s="2" t="inlineStr">
        <is>
          <t>Compliance</t>
        </is>
      </c>
      <c r="C42" s="2" t="inlineStr">
        <is>
          <t>Privacy</t>
        </is>
      </c>
      <c r="D42" s="2" t="inlineStr">
        <is>
          <t>CCPA compliance</t>
        </is>
      </c>
      <c r="E42" s="2" t="inlineStr">
        <is>
          <t>California consumer data requests fulfilled within 45 days</t>
        </is>
      </c>
      <c r="F42" s="5" t="inlineStr">
        <is>
          <t>High</t>
        </is>
      </c>
      <c r="G42" s="3" t="inlineStr">
        <is>
          <t>Must</t>
        </is>
      </c>
      <c r="H42" s="2" t="inlineStr">
        <is>
          <t>US stores serve California consumers; CCPA applies</t>
        </is>
      </c>
      <c r="I42" s="2" t="inlineStr">
        <is>
          <t>Personal data minimised in pricing system; user identity data subject to erasure process</t>
        </is>
      </c>
      <c r="J42" s="2" t="inlineStr">
        <is>
          <t>Annual CCPA audit</t>
        </is>
      </c>
      <c r="K42" s="2" t="inlineStr">
        <is>
          <t>Compliance Team</t>
        </is>
      </c>
      <c r="L42" s="2" t="inlineStr">
        <is>
          <t>Annually</t>
        </is>
      </c>
    </row>
    <row r="43">
      <c r="A43" s="4" t="inlineStr">
        <is>
          <t>NFR-COMP-004</t>
        </is>
      </c>
      <c r="B43" s="4" t="inlineStr">
        <is>
          <t>Compliance</t>
        </is>
      </c>
      <c r="C43" s="4" t="inlineStr">
        <is>
          <t>Payment</t>
        </is>
      </c>
      <c r="D43" s="4" t="inlineStr">
        <is>
          <t>PCI-DSS scope exclusion</t>
        </is>
      </c>
      <c r="E43" s="4" t="inlineStr">
        <is>
          <t>No cardholder data stored; system confirmed out of PCI scope</t>
        </is>
      </c>
      <c r="F43" s="5" t="inlineStr">
        <is>
          <t>High</t>
        </is>
      </c>
      <c r="G43" s="3" t="inlineStr">
        <is>
          <t>Must</t>
        </is>
      </c>
      <c r="H43" s="4" t="inlineStr">
        <is>
          <t>Avoid costly PCI-DSS compliance for a non-payment system</t>
        </is>
      </c>
      <c r="I43" s="4" t="inlineStr">
        <is>
          <t>Pricing records contain no cardholder data by design; documented in architecture decision</t>
        </is>
      </c>
      <c r="J43" s="4" t="inlineStr">
        <is>
          <t>Annual PCI scoping assessment confirms out of scope</t>
        </is>
      </c>
      <c r="K43" s="4" t="inlineStr">
        <is>
          <t>Compliance Team</t>
        </is>
      </c>
      <c r="L43" s="4" t="inlineStr">
        <is>
          <t>Annually</t>
        </is>
      </c>
    </row>
    <row r="44">
      <c r="A44" s="2" t="inlineStr">
        <is>
          <t>NFR-COMP-005</t>
        </is>
      </c>
      <c r="B44" s="2" t="inlineStr">
        <is>
          <t>Compliance</t>
        </is>
      </c>
      <c r="C44" s="2" t="inlineStr">
        <is>
          <t>Retention</t>
        </is>
      </c>
      <c r="D44" s="2" t="inlineStr">
        <is>
          <t>Audit trail data retention</t>
        </is>
      </c>
      <c r="E44" s="2" t="inlineStr">
        <is>
          <t>Pricing change history retained for 7 years</t>
        </is>
      </c>
      <c r="F44" s="5" t="inlineStr">
        <is>
          <t>High</t>
        </is>
      </c>
      <c r="G44" s="3" t="inlineStr">
        <is>
          <t>Must</t>
        </is>
      </c>
      <c r="H44" s="2" t="inlineStr">
        <is>
          <t>Retail regulatory requirements; potential price investigation evidence</t>
        </is>
      </c>
      <c r="I44" s="2" t="inlineStr">
        <is>
          <t>AuditableEntity timestamps never deleted; archival tier after 2 years in Azure SQL</t>
        </is>
      </c>
      <c r="J44" s="2" t="inlineStr">
        <is>
          <t>Annual retention policy review; verify records not deleted prematurely</t>
        </is>
      </c>
      <c r="K44" s="2" t="inlineStr">
        <is>
          <t>Compliance Team</t>
        </is>
      </c>
      <c r="L44" s="2" t="inlineStr">
        <is>
          <t>Annually</t>
        </is>
      </c>
    </row>
    <row r="45">
      <c r="A45" s="4" t="inlineStr">
        <is>
          <t>NFR-COMP-006</t>
        </is>
      </c>
      <c r="B45" s="4" t="inlineStr">
        <is>
          <t>Compliance</t>
        </is>
      </c>
      <c r="C45" s="4" t="inlineStr">
        <is>
          <t>Accessibility</t>
        </is>
      </c>
      <c r="D45" s="4" t="inlineStr">
        <is>
          <t>Web UI accessibility standard</t>
        </is>
      </c>
      <c r="E45" s="4" t="inlineStr">
        <is>
          <t>WCAG 2.1 AA compliance across all UI components</t>
        </is>
      </c>
      <c r="F45" s="5" t="inlineStr">
        <is>
          <t>High</t>
        </is>
      </c>
      <c r="G45" s="3" t="inlineStr">
        <is>
          <t>Must</t>
        </is>
      </c>
      <c r="H45" s="4" t="inlineStr">
        <is>
          <t>Enterprise accessibility policy; legal requirement in AU, GB, US</t>
        </is>
      </c>
      <c r="I45" s="4" t="inlineStr">
        <is>
          <t>MUI components built to WCAG 2.1; keyboard navigation tested; screen reader labels added</t>
        </is>
      </c>
      <c r="J45" s="4" t="inlineStr">
        <is>
          <t>axe-core automated accessibility scan in CI; annual manual audit</t>
        </is>
      </c>
      <c r="K45" s="4" t="inlineStr">
        <is>
          <t>Frontend Team</t>
        </is>
      </c>
      <c r="L45" s="4" t="inlineStr">
        <is>
          <t>Quarterly</t>
        </is>
      </c>
    </row>
    <row r="46">
      <c r="A46" s="2" t="inlineStr">
        <is>
          <t>NFR-OBS-001</t>
        </is>
      </c>
      <c r="B46" s="2" t="inlineStr">
        <is>
          <t>Observability</t>
        </is>
      </c>
      <c r="C46" s="2" t="inlineStr">
        <is>
          <t>Logging</t>
        </is>
      </c>
      <c r="D46" s="2" t="inlineStr">
        <is>
          <t>Centralised structured logging</t>
        </is>
      </c>
      <c r="E46" s="2" t="inlineStr">
        <is>
          <t>100% of API requests logged with correlation ID to Application Insights</t>
        </is>
      </c>
      <c r="F46" s="5" t="inlineStr">
        <is>
          <t>High</t>
        </is>
      </c>
      <c r="G46" s="3" t="inlineStr">
        <is>
          <t>Must</t>
        </is>
      </c>
      <c r="H46" s="2" t="inlineStr">
        <is>
          <t>Distributed system requires centralised log aggregation for troubleshooting</t>
        </is>
      </c>
      <c r="I46" s="2" t="inlineStr">
        <is>
          <t>Serilog structured logging with Application Insights sink; TraceId propagated via HTTP headers</t>
        </is>
      </c>
      <c r="J46" s="2" t="inlineStr">
        <is>
          <t>Verify all logs appear in Application Insights; no log loss under load</t>
        </is>
      </c>
      <c r="K46" s="2" t="inlineStr">
        <is>
          <t>Platform Team</t>
        </is>
      </c>
      <c r="L46" s="2" t="inlineStr">
        <is>
          <t>Quarterly</t>
        </is>
      </c>
    </row>
    <row r="47">
      <c r="A47" s="4" t="inlineStr">
        <is>
          <t>NFR-OBS-002</t>
        </is>
      </c>
      <c r="B47" s="4" t="inlineStr">
        <is>
          <t>Observability</t>
        </is>
      </c>
      <c r="C47" s="4" t="inlineStr">
        <is>
          <t>Tracing</t>
        </is>
      </c>
      <c r="D47" s="4" t="inlineStr">
        <is>
          <t>Distributed tracing</t>
        </is>
      </c>
      <c r="E47" s="4" t="inlineStr">
        <is>
          <t>End-to-end trace covering API -&gt; MediatR -&gt; DB for every request</t>
        </is>
      </c>
      <c r="F47" s="5" t="inlineStr">
        <is>
          <t>High</t>
        </is>
      </c>
      <c r="G47" s="3" t="inlineStr">
        <is>
          <t>Must</t>
        </is>
      </c>
      <c r="H47" s="4" t="inlineStr">
        <is>
          <t>Latency issues in distributed systems are hard to diagnose without traces</t>
        </is>
      </c>
      <c r="I47" s="4" t="inlineStr">
        <is>
          <t>OpenTelemetry SDK with Azure Monitor exporter; TraceId in all log messages</t>
        </is>
      </c>
      <c r="J47" s="4" t="inlineStr">
        <is>
          <t>Verify trace appears end-to-end in Application Insights Transaction Search</t>
        </is>
      </c>
      <c r="K47" s="4" t="inlineStr">
        <is>
          <t>Platform Team</t>
        </is>
      </c>
      <c r="L47" s="4" t="inlineStr">
        <is>
          <t>Quarterly</t>
        </is>
      </c>
    </row>
    <row r="48">
      <c r="A48" s="2" t="inlineStr">
        <is>
          <t>NFR-OBS-003</t>
        </is>
      </c>
      <c r="B48" s="2" t="inlineStr">
        <is>
          <t>Observability</t>
        </is>
      </c>
      <c r="C48" s="2" t="inlineStr">
        <is>
          <t>Alerting</t>
        </is>
      </c>
      <c r="D48" s="2" t="inlineStr">
        <is>
          <t>P1 incident alerting</t>
        </is>
      </c>
      <c r="E48" s="2" t="inlineStr">
        <is>
          <t>On-call engineer paged within 5 minutes of P1 threshold breach</t>
        </is>
      </c>
      <c r="F48" s="3" t="inlineStr">
        <is>
          <t>Critical</t>
        </is>
      </c>
      <c r="G48" s="3" t="inlineStr">
        <is>
          <t>Must</t>
        </is>
      </c>
      <c r="H48" s="2" t="inlineStr">
        <is>
          <t>3000 stores depend on the system; slow response to outages causes widespread impact</t>
        </is>
      </c>
      <c r="I48" s="2" t="inlineStr">
        <is>
          <t>Azure Monitor alert rules -&gt; Action Group -&gt; PagerDuty integration</t>
        </is>
      </c>
      <c r="J48" s="2" t="inlineStr">
        <is>
          <t>Test alert firing: verify engineer paged within 5 minutes</t>
        </is>
      </c>
      <c r="K48" s="2" t="inlineStr">
        <is>
          <t>Platform Team</t>
        </is>
      </c>
      <c r="L48" s="2" t="inlineStr">
        <is>
          <t>Monthly</t>
        </is>
      </c>
    </row>
    <row r="49">
      <c r="A49" s="4" t="inlineStr">
        <is>
          <t>NFR-OBS-004</t>
        </is>
      </c>
      <c r="B49" s="4" t="inlineStr">
        <is>
          <t>Observability</t>
        </is>
      </c>
      <c r="C49" s="4" t="inlineStr">
        <is>
          <t>Dashboard</t>
        </is>
      </c>
      <c r="D49" s="4" t="inlineStr">
        <is>
          <t>Real-time operational dashboard</t>
        </is>
      </c>
      <c r="E49" s="4" t="inlineStr">
        <is>
          <t>Upload queue depth and processing rate visible with &lt; 1 minute lag</t>
        </is>
      </c>
      <c r="F49" s="6" t="inlineStr">
        <is>
          <t>Medium</t>
        </is>
      </c>
      <c r="G49" s="5" t="inlineStr">
        <is>
          <t>Should</t>
        </is>
      </c>
      <c r="H49" s="4" t="inlineStr">
        <is>
          <t>Operations team monitors batch upload health each morning</t>
        </is>
      </c>
      <c r="I49" s="4" t="inlineStr">
        <is>
          <t>Azure Monitor workbook: Service Bus queue depth + upload batch completion rate widgets</t>
        </is>
      </c>
      <c r="J49" s="4" t="inlineStr">
        <is>
          <t>Verify dashboard data freshness during morning upload window</t>
        </is>
      </c>
      <c r="K49" s="4" t="inlineStr">
        <is>
          <t>Platform Team</t>
        </is>
      </c>
      <c r="L49" s="4" t="inlineStr">
        <is>
          <t>Quarterly</t>
        </is>
      </c>
    </row>
    <row r="50">
      <c r="A50" s="2" t="inlineStr">
        <is>
          <t>NFR-OBS-005</t>
        </is>
      </c>
      <c r="B50" s="2" t="inlineStr">
        <is>
          <t>Observability</t>
        </is>
      </c>
      <c r="C50" s="2" t="inlineStr">
        <is>
          <t>Alerting</t>
        </is>
      </c>
      <c r="D50" s="2" t="inlineStr">
        <is>
          <t>API error rate alerting</t>
        </is>
      </c>
      <c r="E50" s="2" t="inlineStr">
        <is>
          <t>Alert fires when 5xx error rate exceeds 1% over any 5-minute window</t>
        </is>
      </c>
      <c r="F50" s="5" t="inlineStr">
        <is>
          <t>High</t>
        </is>
      </c>
      <c r="G50" s="3" t="inlineStr">
        <is>
          <t>Must</t>
        </is>
      </c>
      <c r="H50" s="2" t="inlineStr">
        <is>
          <t>Early warning of degraded service before SLA breach</t>
        </is>
      </c>
      <c r="I50" s="2" t="inlineStr">
        <is>
          <t>Azure Monitor metric alert on Http5xxRate; alert threshold 1%; evaluation every 1 minute</t>
        </is>
      </c>
      <c r="J50" s="2" t="inlineStr">
        <is>
          <t>Test: inject 2% error rate, verify alert fires within 5 minutes</t>
        </is>
      </c>
      <c r="K50" s="2" t="inlineStr">
        <is>
          <t>Platform Team</t>
        </is>
      </c>
      <c r="L50" s="2" t="inlineStr">
        <is>
          <t>Monthly</t>
        </is>
      </c>
    </row>
    <row r="51">
      <c r="A51" s="4" t="inlineStr">
        <is>
          <t>NFR-OBS-006</t>
        </is>
      </c>
      <c r="B51" s="4" t="inlineStr">
        <is>
          <t>Observability</t>
        </is>
      </c>
      <c r="C51" s="4" t="inlineStr">
        <is>
          <t>Synthetic Monitoring</t>
        </is>
      </c>
      <c r="D51" s="4" t="inlineStr">
        <is>
          <t>End-to-end synthetic monitors</t>
        </is>
      </c>
      <c r="E51" s="4" t="inlineStr">
        <is>
          <t>Upload and search synthetic tests run every 5 minutes from 3 regions</t>
        </is>
      </c>
      <c r="F51" s="5" t="inlineStr">
        <is>
          <t>High</t>
        </is>
      </c>
      <c r="G51" s="3" t="inlineStr">
        <is>
          <t>Must</t>
        </is>
      </c>
      <c r="H51" s="4" t="inlineStr">
        <is>
          <t>Detect regional outages before users report them</t>
        </is>
      </c>
      <c r="I51" s="4" t="inlineStr">
        <is>
          <t>Azure Application Insights availability tests (multi-step web test)</t>
        </is>
      </c>
      <c r="J51" s="4" t="inlineStr">
        <is>
          <t>Verify monitor detects injected failure within 10 minutes</t>
        </is>
      </c>
      <c r="K51" s="4" t="inlineStr">
        <is>
          <t>Platform Team</t>
        </is>
      </c>
      <c r="L51" s="4" t="inlineStr">
        <is>
          <t>Monthly</t>
        </is>
      </c>
    </row>
    <row r="52">
      <c r="A52" s="2" t="inlineStr">
        <is>
          <t>NFR-DR-001</t>
        </is>
      </c>
      <c r="B52" s="2" t="inlineStr">
        <is>
          <t>Disaster Recovery</t>
        </is>
      </c>
      <c r="C52" s="2" t="inlineStr">
        <is>
          <t>Geo-redundancy</t>
        </is>
      </c>
      <c r="D52" s="2" t="inlineStr">
        <is>
          <t>Database geo-replication</t>
        </is>
      </c>
      <c r="E52" s="2" t="inlineStr">
        <is>
          <t>Azure SQL active geo-replication to secondary region; failover &lt; 30 seconds</t>
        </is>
      </c>
      <c r="F52" s="3" t="inlineStr">
        <is>
          <t>Critical</t>
        </is>
      </c>
      <c r="G52" s="3" t="inlineStr">
        <is>
          <t>Must</t>
        </is>
      </c>
      <c r="H52" s="2" t="inlineStr">
        <is>
          <t>Single-region DB failure must not exceed RTO of 1 hour</t>
        </is>
      </c>
      <c r="I52" s="2" t="inlineStr">
        <is>
          <t>Azure SQL Business Critical auto-failover group: australiaeast primary; australiasoutheast secondary</t>
        </is>
      </c>
      <c r="J52" s="2" t="inlineStr">
        <is>
          <t>Quarterly DR drill: initiate failover, measure actual failover time</t>
        </is>
      </c>
      <c r="K52" s="2" t="inlineStr">
        <is>
          <t>Platform Team</t>
        </is>
      </c>
      <c r="L52" s="2" t="inlineStr">
        <is>
          <t>Quarterly</t>
        </is>
      </c>
    </row>
    <row r="53">
      <c r="A53" s="4" t="inlineStr">
        <is>
          <t>NFR-DR-002</t>
        </is>
      </c>
      <c r="B53" s="4" t="inlineStr">
        <is>
          <t>Disaster Recovery</t>
        </is>
      </c>
      <c r="C53" s="4" t="inlineStr">
        <is>
          <t>Testing</t>
        </is>
      </c>
      <c r="D53" s="4" t="inlineStr">
        <is>
          <t>DR drill frequency</t>
        </is>
      </c>
      <c r="E53" s="4" t="inlineStr">
        <is>
          <t>Full failover to secondary region tested quarterly</t>
        </is>
      </c>
      <c r="F53" s="5" t="inlineStr">
        <is>
          <t>High</t>
        </is>
      </c>
      <c r="G53" s="3" t="inlineStr">
        <is>
          <t>Must</t>
        </is>
      </c>
      <c r="H53" s="4" t="inlineStr">
        <is>
          <t>Untested DR plans fail when needed most</t>
        </is>
      </c>
      <c r="I53" s="4" t="inlineStr">
        <is>
          <t>Runbook for failover documented and automated via Azure Automation</t>
        </is>
      </c>
      <c r="J53" s="4" t="inlineStr">
        <is>
          <t>Quarterly drill report with actual RTO/RPO vs targets</t>
        </is>
      </c>
      <c r="K53" s="4" t="inlineStr">
        <is>
          <t>Platform Team</t>
        </is>
      </c>
      <c r="L53" s="4" t="inlineStr">
        <is>
          <t>Quarterly</t>
        </is>
      </c>
    </row>
    <row r="54">
      <c r="A54" s="2" t="inlineStr">
        <is>
          <t>NFR-DR-003</t>
        </is>
      </c>
      <c r="B54" s="2" t="inlineStr">
        <is>
          <t>Disaster Recovery</t>
        </is>
      </c>
      <c r="C54" s="2" t="inlineStr">
        <is>
          <t>Backup</t>
        </is>
      </c>
      <c r="D54" s="2" t="inlineStr">
        <is>
          <t>Database backup frequency</t>
        </is>
      </c>
      <c r="E54" s="2" t="inlineStr">
        <is>
          <t>Full backup daily at 02:00 UTC; transaction log every 15 minutes</t>
        </is>
      </c>
      <c r="F54" s="3" t="inlineStr">
        <is>
          <t>Critical</t>
        </is>
      </c>
      <c r="G54" s="3" t="inlineStr">
        <is>
          <t>Must</t>
        </is>
      </c>
      <c r="H54" s="2" t="inlineStr">
        <is>
          <t>RPO of 15 minutes requires frequent transaction log backups</t>
        </is>
      </c>
      <c r="I54" s="2" t="inlineStr">
        <is>
          <t>Azure SQL automated backups: full (weekly), differential (daily), log (every 5-12 min)</t>
        </is>
      </c>
      <c r="J54" s="2" t="inlineStr">
        <is>
          <t>Monthly: restore backup to test environment and verify data integrity</t>
        </is>
      </c>
      <c r="K54" s="2" t="inlineStr">
        <is>
          <t>DBA Team</t>
        </is>
      </c>
      <c r="L54" s="2" t="inlineStr">
        <is>
          <t>Monthly</t>
        </is>
      </c>
    </row>
    <row r="55">
      <c r="A55" s="4" t="inlineStr">
        <is>
          <t>NFR-DR-004</t>
        </is>
      </c>
      <c r="B55" s="4" t="inlineStr">
        <is>
          <t>Disaster Recovery</t>
        </is>
      </c>
      <c r="C55" s="4" t="inlineStr">
        <is>
          <t>Retention</t>
        </is>
      </c>
      <c r="D55" s="4" t="inlineStr">
        <is>
          <t>Backup retention policy</t>
        </is>
      </c>
      <c r="E55" s="4" t="inlineStr">
        <is>
          <t>Daily backups retained 30 days; monthly backups retained 12 months</t>
        </is>
      </c>
      <c r="F55" s="5" t="inlineStr">
        <is>
          <t>High</t>
        </is>
      </c>
      <c r="G55" s="3" t="inlineStr">
        <is>
          <t>Must</t>
        </is>
      </c>
      <c r="H55" s="4" t="inlineStr">
        <is>
          <t>Regulatory requirement (Compliance NFR-COMP-005) and data recovery needs</t>
        </is>
      </c>
      <c r="I55" s="4" t="inlineStr">
        <is>
          <t>Azure SQL long-term retention (LTR) policy configured; Blob Storage lifecycle management</t>
        </is>
      </c>
      <c r="J55" s="4" t="inlineStr">
        <is>
          <t>Annual review: verify backups exist for full retention period</t>
        </is>
      </c>
      <c r="K55" s="4" t="inlineStr">
        <is>
          <t>DBA Team</t>
        </is>
      </c>
      <c r="L55" s="4" t="inlineStr">
        <is>
          <t>Annually</t>
        </is>
      </c>
    </row>
    <row r="56">
      <c r="A56" s="2" t="inlineStr">
        <is>
          <t>NFR-I18N-001</t>
        </is>
      </c>
      <c r="B56" s="2" t="inlineStr">
        <is>
          <t>Internationalisation</t>
        </is>
      </c>
      <c r="C56" s="2" t="inlineStr">
        <is>
          <t>Currency</t>
        </is>
      </c>
      <c r="D56" s="2" t="inlineStr">
        <is>
          <t>Multi-currency support</t>
        </is>
      </c>
      <c r="E56" s="2" t="inlineStr">
        <is>
          <t>Each pricing record stores ISO 4217 currency code; no implicit conversion</t>
        </is>
      </c>
      <c r="F56" s="3" t="inlineStr">
        <is>
          <t>Critical</t>
        </is>
      </c>
      <c r="G56" s="3" t="inlineStr">
        <is>
          <t>Must</t>
        </is>
      </c>
      <c r="H56" s="2" t="inlineStr">
        <is>
          <t>3000 stores across 20+ countries use different currencies</t>
        </is>
      </c>
      <c r="I56" s="2" t="inlineStr">
        <is>
          <t>CurrencyCode field on PricingRecord entity; derived from StoreId country prefix</t>
        </is>
      </c>
      <c r="J56" s="2" t="inlineStr">
        <is>
          <t>Integration test: upload AU, GB, US stores; verify correct currency codes stored</t>
        </is>
      </c>
      <c r="K56" s="2" t="inlineStr">
        <is>
          <t>Product Team</t>
        </is>
      </c>
      <c r="L56" s="2" t="inlineStr">
        <is>
          <t>Quarterly</t>
        </is>
      </c>
    </row>
    <row r="57">
      <c r="A57" s="4" t="inlineStr">
        <is>
          <t>NFR-I18N-002</t>
        </is>
      </c>
      <c r="B57" s="4" t="inlineStr">
        <is>
          <t>Internationalisation</t>
        </is>
      </c>
      <c r="C57" s="4" t="inlineStr">
        <is>
          <t>Date Display</t>
        </is>
      </c>
      <c r="D57" s="4" t="inlineStr">
        <is>
          <t>Localised date formatting</t>
        </is>
      </c>
      <c r="E57" s="4" t="inlineStr">
        <is>
          <t>UI displays dates in store's regional format (DD/MM/YYYY AU/GB; MM/DD/YYYY US)</t>
        </is>
      </c>
      <c r="F57" s="5" t="inlineStr">
        <is>
          <t>High</t>
        </is>
      </c>
      <c r="G57" s="5" t="inlineStr">
        <is>
          <t>Should</t>
        </is>
      </c>
      <c r="H57" s="4" t="inlineStr">
        <is>
          <t>Store managers in each country expect local date format</t>
        </is>
      </c>
      <c r="I57" s="4" t="inlineStr">
        <is>
          <t>React Intl / date-fns locale-aware formatting based on user's locale claim in JWT</t>
        </is>
      </c>
      <c r="J57" s="4" t="inlineStr">
        <is>
          <t>Manual test: log in as AU user and US user; verify date format differs</t>
        </is>
      </c>
      <c r="K57" s="4" t="inlineStr">
        <is>
          <t>Frontend Team</t>
        </is>
      </c>
      <c r="L57" s="4" t="inlineStr">
        <is>
          <t>Quarterly</t>
        </is>
      </c>
    </row>
    <row r="58">
      <c r="A58" s="2" t="inlineStr">
        <is>
          <t>NFR-I18N-003</t>
        </is>
      </c>
      <c r="B58" s="2" t="inlineStr">
        <is>
          <t>Internationalisation</t>
        </is>
      </c>
      <c r="C58" s="2" t="inlineStr">
        <is>
          <t>Timezone</t>
        </is>
      </c>
      <c r="D58" s="2" t="inlineStr">
        <is>
          <t>UTC storage with local display</t>
        </is>
      </c>
      <c r="E58" s="2" t="inlineStr">
        <is>
          <t>All timestamps stored and compared in UTC; displayed in user's local timezone</t>
        </is>
      </c>
      <c r="F58" s="3" t="inlineStr">
        <is>
          <t>Critical</t>
        </is>
      </c>
      <c r="G58" s="3" t="inlineStr">
        <is>
          <t>Must</t>
        </is>
      </c>
      <c r="H58" s="2" t="inlineStr">
        <is>
          <t>Stores operate in UTC+8 to UTC-8; incorrect timezone causes incorrect effective date assignment</t>
        </is>
      </c>
      <c r="I58" s="2" t="inlineStr">
        <is>
          <t>All backend DateTime values are UTC; frontend converts using Intl.DateTimeFormat with user timezone</t>
        </is>
      </c>
      <c r="J58" s="2" t="inlineStr">
        <is>
          <t>Unit test: verify UTC storage; UI test: verify local timezone display</t>
        </is>
      </c>
      <c r="K58" s="2" t="inlineStr">
        <is>
          <t>Platform Team</t>
        </is>
      </c>
      <c r="L58" s="2" t="inlineStr">
        <is>
          <t>Quarterly</t>
        </is>
      </c>
    </row>
    <row r="59">
      <c r="A59" s="4" t="inlineStr">
        <is>
          <t>NFR-I18N-004</t>
        </is>
      </c>
      <c r="B59" s="4" t="inlineStr">
        <is>
          <t>Internationalisation</t>
        </is>
      </c>
      <c r="C59" s="4" t="inlineStr">
        <is>
          <t>Language</t>
        </is>
      </c>
      <c r="D59" s="4" t="inlineStr">
        <is>
          <t>UI language support at launch</t>
        </is>
      </c>
      <c r="E59" s="4" t="inlineStr">
        <is>
          <t>English (AU), English (GB), English (US), French (CA) supported at go-live</t>
        </is>
      </c>
      <c r="F59" s="6" t="inlineStr">
        <is>
          <t>Medium</t>
        </is>
      </c>
      <c r="G59" s="5" t="inlineStr">
        <is>
          <t>Should</t>
        </is>
      </c>
      <c r="H59" s="4" t="inlineStr">
        <is>
          <t>French-Canadian stores require FR-CA UI</t>
        </is>
      </c>
      <c r="I59" s="4" t="inlineStr">
        <is>
          <t>React i18n (react-intl) with locale message bundles; locale selected from Accept-Language header</t>
        </is>
      </c>
      <c r="J59" s="4" t="inlineStr">
        <is>
          <t>Manual test: switch to FR-CA locale; verify all UI strings translated</t>
        </is>
      </c>
      <c r="K59" s="4" t="inlineStr">
        <is>
          <t>Frontend Team</t>
        </is>
      </c>
      <c r="L59" s="4" t="inlineStr">
        <is>
          <t>Annually</t>
        </is>
      </c>
    </row>
    <row r="60">
      <c r="A60" s="2" t="inlineStr">
        <is>
          <t>NFR-I18N-005</t>
        </is>
      </c>
      <c r="B60" s="2" t="inlineStr">
        <is>
          <t>Internationalisation</t>
        </is>
      </c>
      <c r="C60" s="2" t="inlineStr">
        <is>
          <t>Numbers</t>
        </is>
      </c>
      <c r="D60" s="2" t="inlineStr">
        <is>
          <t>Localised number formatting</t>
        </is>
      </c>
      <c r="E60" s="2" t="inlineStr">
        <is>
          <t>Decimal separators and thousand separators localised per country</t>
        </is>
      </c>
      <c r="F60" s="6" t="inlineStr">
        <is>
          <t>Medium</t>
        </is>
      </c>
      <c r="G60" s="5" t="inlineStr">
        <is>
          <t>Should</t>
        </is>
      </c>
      <c r="H60" s="2" t="inlineStr">
        <is>
          <t>European stores use comma as decimal separator (e.g. 3,99)</t>
        </is>
      </c>
      <c r="I60" s="2" t="inlineStr">
        <is>
          <t>React Intl NumberFormat with locale-aware formatting; backend always stores decimal (.) format</t>
        </is>
      </c>
      <c r="J60" s="2" t="inlineStr">
        <is>
          <t>Unit test: format 3.99 in EN-AU vs FR-CA locale; verify correct output</t>
        </is>
      </c>
      <c r="K60" s="2" t="inlineStr">
        <is>
          <t>Frontend Team</t>
        </is>
      </c>
      <c r="L60" s="2" t="inlineStr">
        <is>
          <t>Quarterly</t>
        </is>
      </c>
    </row>
    <row r="61">
      <c r="A61" s="4" t="inlineStr">
        <is>
          <t>NFR-MAINT-001</t>
        </is>
      </c>
      <c r="B61" s="4" t="inlineStr">
        <is>
          <t>Maintainability</t>
        </is>
      </c>
      <c r="C61" s="4" t="inlineStr">
        <is>
          <t>Testing</t>
        </is>
      </c>
      <c r="D61" s="4" t="inlineStr">
        <is>
          <t>Unit test code coverage</t>
        </is>
      </c>
      <c r="E61" s="4" t="inlineStr">
        <is>
          <t>Minimum 80% line coverage enforced as CI quality gate</t>
        </is>
      </c>
      <c r="F61" s="5" t="inlineStr">
        <is>
          <t>High</t>
        </is>
      </c>
      <c r="G61" s="3" t="inlineStr">
        <is>
          <t>Must</t>
        </is>
      </c>
      <c r="H61" s="4" t="inlineStr">
        <is>
          <t>Low coverage increases regression risk as team grows</t>
        </is>
      </c>
      <c r="I61" s="4" t="inlineStr">
        <is>
          <t>xUnit + NSubstitute + FluentAssertions; coverlet coverage collection in CI pipeline</t>
        </is>
      </c>
      <c r="J61" s="4" t="inlineStr">
        <is>
          <t>CI pipeline fails build if coverage drops below 80%</t>
        </is>
      </c>
      <c r="K61" s="4" t="inlineStr">
        <is>
          <t>Engineering Team</t>
        </is>
      </c>
      <c r="L61" s="4" t="inlineStr">
        <is>
          <t>Continuously</t>
        </is>
      </c>
    </row>
    <row r="62">
      <c r="A62" s="2" t="inlineStr">
        <is>
          <t>NFR-MAINT-002</t>
        </is>
      </c>
      <c r="B62" s="2" t="inlineStr">
        <is>
          <t>Maintainability</t>
        </is>
      </c>
      <c r="C62" s="2" t="inlineStr">
        <is>
          <t>Deployment</t>
        </is>
      </c>
      <c r="D62" s="2" t="inlineStr">
        <is>
          <t>Zero-downtime deployments</t>
        </is>
      </c>
      <c r="E62" s="2" t="inlineStr">
        <is>
          <t>Blue/green Kubernetes deployments; zero downtime on every release</t>
        </is>
      </c>
      <c r="F62" s="5" t="inlineStr">
        <is>
          <t>High</t>
        </is>
      </c>
      <c r="G62" s="3" t="inlineStr">
        <is>
          <t>Must</t>
        </is>
      </c>
      <c r="H62" s="2" t="inlineStr">
        <is>
          <t>Stores upload during business hours; deployments cannot cause downtime</t>
        </is>
      </c>
      <c r="I62" s="2" t="inlineStr">
        <is>
          <t>Rolling update strategy in AKS; readiness probe gates traffic to new pods</t>
        </is>
      </c>
      <c r="J62" s="2" t="inlineStr">
        <is>
          <t>Release verification: deploy during business hours; assert zero 503 errors</t>
        </is>
      </c>
      <c r="K62" s="2" t="inlineStr">
        <is>
          <t>Platform Team</t>
        </is>
      </c>
      <c r="L62" s="2" t="inlineStr">
        <is>
          <t>Each Release</t>
        </is>
      </c>
    </row>
    <row r="63">
      <c r="A63" s="4" t="inlineStr">
        <is>
          <t>NFR-MAINT-003</t>
        </is>
      </c>
      <c r="B63" s="4" t="inlineStr">
        <is>
          <t>Maintainability</t>
        </is>
      </c>
      <c r="C63" s="4" t="inlineStr">
        <is>
          <t>Incident</t>
        </is>
      </c>
      <c r="D63" s="4" t="inlineStr">
        <is>
          <t>Mean Time To Recover (MTTR)</t>
        </is>
      </c>
      <c r="E63" s="4" t="inlineStr">
        <is>
          <t>P1 incidents resolved within 2 hours; P2 within 8 hours</t>
        </is>
      </c>
      <c r="F63" s="5" t="inlineStr">
        <is>
          <t>High</t>
        </is>
      </c>
      <c r="G63" s="3" t="inlineStr">
        <is>
          <t>Must</t>
        </is>
      </c>
      <c r="H63" s="4" t="inlineStr">
        <is>
          <t>Extended outages cascade to 3000 stores missing price updates</t>
        </is>
      </c>
      <c r="I63" s="4" t="inlineStr">
        <is>
          <t>Runbooks in Confluence for common failure scenarios; on-call rotation</t>
        </is>
      </c>
      <c r="J63" s="4" t="inlineStr">
        <is>
          <t>Track MTTR per incident in post-incident report; monthly trend review</t>
        </is>
      </c>
      <c r="K63" s="4" t="inlineStr">
        <is>
          <t>Platform Team</t>
        </is>
      </c>
      <c r="L63" s="4" t="inlineStr">
        <is>
          <t>Monthly</t>
        </is>
      </c>
    </row>
    <row r="64">
      <c r="A64" s="2" t="inlineStr">
        <is>
          <t>NFR-MAINT-004</t>
        </is>
      </c>
      <c r="B64" s="2" t="inlineStr">
        <is>
          <t>Maintainability</t>
        </is>
      </c>
      <c r="C64" s="2" t="inlineStr">
        <is>
          <t>API</t>
        </is>
      </c>
      <c r="D64" s="2" t="inlineStr">
        <is>
          <t>API backwards compatibility</t>
        </is>
      </c>
      <c r="E64" s="2" t="inlineStr">
        <is>
          <t>Breaking changes must not be deployed without 12 months deprecation notice</t>
        </is>
      </c>
      <c r="F64" s="5" t="inlineStr">
        <is>
          <t>High</t>
        </is>
      </c>
      <c r="G64" s="3" t="inlineStr">
        <is>
          <t>Must</t>
        </is>
      </c>
      <c r="H64" s="2" t="inlineStr">
        <is>
          <t>MFE remotes may lag the API by weeks; breaking changes cause runtime errors</t>
        </is>
      </c>
      <c r="I64" s="2" t="inlineStr">
        <is>
          <t>URL-based API versioning (/api/v1/); old versions supported for 12 months after new version</t>
        </is>
      </c>
      <c r="J64" s="2" t="inlineStr">
        <is>
          <t>Consumer-driven contract tests (Pact) between API and MFEs run in CI</t>
        </is>
      </c>
      <c r="K64" s="2" t="inlineStr">
        <is>
          <t>Platform Team</t>
        </is>
      </c>
      <c r="L64" s="2" t="inlineStr">
        <is>
          <t>Each Release</t>
        </is>
      </c>
    </row>
    <row r="65">
      <c r="A65" s="4" t="inlineStr">
        <is>
          <t>NFR-MAINT-005</t>
        </is>
      </c>
      <c r="B65" s="4" t="inlineStr">
        <is>
          <t>Maintainability</t>
        </is>
      </c>
      <c r="C65" s="4" t="inlineStr">
        <is>
          <t>Dependencies</t>
        </is>
      </c>
      <c r="D65" s="4" t="inlineStr">
        <is>
          <t>Security patch SLA</t>
        </is>
      </c>
      <c r="E65" s="4" t="inlineStr">
        <is>
          <t>Critical CVEs patched within 72 hours; High CVEs within 14 days</t>
        </is>
      </c>
      <c r="F65" s="3" t="inlineStr">
        <is>
          <t>Critical</t>
        </is>
      </c>
      <c r="G65" s="3" t="inlineStr">
        <is>
          <t>Must</t>
        </is>
      </c>
      <c r="H65" s="4" t="inlineStr">
        <is>
          <t>NuGet and npm packages regularly have CVEs; unpatched dependencies are liability</t>
        </is>
      </c>
      <c r="I65" s="4" t="inlineStr">
        <is>
          <t>Dependabot automated PRs for dependency updates; CI scans with OWASP Dependency Check</t>
        </is>
      </c>
      <c r="J65" s="4" t="inlineStr">
        <is>
          <t>Monitor Dependabot alerts; track patch SLA compliance in security dashboard</t>
        </is>
      </c>
      <c r="K65" s="4" t="inlineStr">
        <is>
          <t>Security Team</t>
        </is>
      </c>
      <c r="L65" s="4" t="inlineStr">
        <is>
          <t>Continuously</t>
        </is>
      </c>
    </row>
    <row r="66">
      <c r="A66" s="2" t="inlineStr">
        <is>
          <t>NFR-CAP-001</t>
        </is>
      </c>
      <c r="B66" s="2" t="inlineStr">
        <is>
          <t>Capacity</t>
        </is>
      </c>
      <c r="C66" s="2" t="inlineStr">
        <is>
          <t>Upload</t>
        </is>
      </c>
      <c r="D66" s="2" t="inlineStr">
        <is>
          <t>Maximum CSV file size</t>
        </is>
      </c>
      <c r="E66" s="2" t="inlineStr">
        <is>
          <t>10 MB per upload (~100000 rows at average row size)</t>
        </is>
      </c>
      <c r="F66" s="5" t="inlineStr">
        <is>
          <t>High</t>
        </is>
      </c>
      <c r="G66" s="3" t="inlineStr">
        <is>
          <t>Must</t>
        </is>
      </c>
      <c r="H66" s="2" t="inlineStr">
        <is>
          <t>Larger files require async batch processing (separate workstream)</t>
        </is>
      </c>
      <c r="I66" s="2" t="inlineStr">
        <is>
          <t>FluentValidation checks stream.Length &lt;= 10MB before processing; 413 returned if exceeded</t>
        </is>
      </c>
      <c r="J66" s="2" t="inlineStr">
        <is>
          <t>Test: upload 10.1 MB file; assert 413 Payload Too Large</t>
        </is>
      </c>
      <c r="K66" s="2" t="inlineStr">
        <is>
          <t>Platform Team</t>
        </is>
      </c>
      <c r="L66" s="2" t="inlineStr">
        <is>
          <t>Annually</t>
        </is>
      </c>
    </row>
    <row r="67">
      <c r="A67" s="4" t="inlineStr">
        <is>
          <t>NFR-CAP-002</t>
        </is>
      </c>
      <c r="B67" s="4" t="inlineStr">
        <is>
          <t>Capacity</t>
        </is>
      </c>
      <c r="C67" s="4" t="inlineStr">
        <is>
          <t>Volume</t>
        </is>
      </c>
      <c r="D67" s="4" t="inlineStr">
        <is>
          <t>Daily upload throughput</t>
        </is>
      </c>
      <c r="E67" s="4" t="inlineStr">
        <is>
          <t>3000 stores x 1 file/day = 3000 files; all processed within 2-hour morning window</t>
        </is>
      </c>
      <c r="F67" s="3" t="inlineStr">
        <is>
          <t>Critical</t>
        </is>
      </c>
      <c r="G67" s="3" t="inlineStr">
        <is>
          <t>Must</t>
        </is>
      </c>
      <c r="H67" s="4" t="inlineStr">
        <is>
          <t>All stores upload before their trading day begins (06:00 local)</t>
        </is>
      </c>
      <c r="I67" s="4" t="inlineStr">
        <is>
          <t>Azure Service Bus queue + multiple consumer instances; auto-scaling during upload window</t>
        </is>
      </c>
      <c r="J67" s="4" t="inlineStr">
        <is>
          <t>Load test: simulate 3000 concurrent uploads; assert all complete within 2 hours</t>
        </is>
      </c>
      <c r="K67" s="4" t="inlineStr">
        <is>
          <t>Platform Team</t>
        </is>
      </c>
      <c r="L67" s="4" t="inlineStr">
        <is>
          <t>Quarterly</t>
        </is>
      </c>
    </row>
    <row r="68">
      <c r="A68" s="2" t="inlineStr">
        <is>
          <t>NFR-CAP-003</t>
        </is>
      </c>
      <c r="B68" s="2" t="inlineStr">
        <is>
          <t>Capacity</t>
        </is>
      </c>
      <c r="C68" s="2" t="inlineStr">
        <is>
          <t>Database</t>
        </is>
      </c>
      <c r="D68" s="2" t="inlineStr">
        <is>
          <t>Pricing records volume at 12 months</t>
        </is>
      </c>
      <c r="E68" s="2" t="inlineStr">
        <is>
          <t>Support 50 million active records; search P95 remains &lt; 500ms</t>
        </is>
      </c>
      <c r="F68" s="5" t="inlineStr">
        <is>
          <t>High</t>
        </is>
      </c>
      <c r="G68" s="3" t="inlineStr">
        <is>
          <t>Must</t>
        </is>
      </c>
      <c r="H68" s="2" t="inlineStr">
        <is>
          <t>3000 stores x avg 5000 SKUs x 52 weeks/year ~ 780M record-versions; hot data = current week</t>
        </is>
      </c>
      <c r="I68" s="2" t="inlineStr">
        <is>
          <t>Table partitioning by EffectiveDate; archival job moves records &gt; 90 days to cold partition</t>
        </is>
      </c>
      <c r="J68" s="2" t="inlineStr">
        <is>
          <t>Capacity test: populate 50M records; run search benchmark</t>
        </is>
      </c>
      <c r="K68" s="2" t="inlineStr">
        <is>
          <t>DBA Team</t>
        </is>
      </c>
      <c r="L68" s="2" t="inlineStr">
        <is>
          <t>Quarterly</t>
        </is>
      </c>
    </row>
    <row r="69">
      <c r="A69" s="4" t="inlineStr">
        <is>
          <t>NFR-CAP-004</t>
        </is>
      </c>
      <c r="B69" s="4" t="inlineStr">
        <is>
          <t>Capacity</t>
        </is>
      </c>
      <c r="C69" s="4" t="inlineStr">
        <is>
          <t>API</t>
        </is>
      </c>
      <c r="D69" s="4" t="inlineStr">
        <is>
          <t>API response payload size</t>
        </is>
      </c>
      <c r="E69" s="4" t="inlineStr">
        <is>
          <t>Maximum response payload 5 MB; default page size 50 rows</t>
        </is>
      </c>
      <c r="F69" s="6" t="inlineStr">
        <is>
          <t>Medium</t>
        </is>
      </c>
      <c r="G69" s="5" t="inlineStr">
        <is>
          <t>Should</t>
        </is>
      </c>
      <c r="H69" s="4" t="inlineStr">
        <is>
          <t>Large payloads degrade mobile/low-bandwidth clients and increase latency</t>
        </is>
      </c>
      <c r="I69" s="4" t="inlineStr">
        <is>
          <t>Pagination enforced: max PageSize=200; hard cap in SearchQueryHandler</t>
        </is>
      </c>
      <c r="J69" s="4" t="inlineStr">
        <is>
          <t>Test: request PageSize=201; assert capped at 200</t>
        </is>
      </c>
      <c r="K69" s="4" t="inlineStr">
        <is>
          <t>Platform Team</t>
        </is>
      </c>
      <c r="L69" s="4" t="inlineStr">
        <is>
          <t>Annually</t>
        </is>
      </c>
    </row>
  </sheetData>
  <autoFilter ref="A1:L69"/>
  <dataValidations count="2">
    <dataValidation sqref="F2:F69" showDropDown="0" showInputMessage="0" showErrorMessage="0" allowBlank="0" type="list">
      <formula1>"Critical,High,Medium,Low"</formula1>
    </dataValidation>
    <dataValidation sqref="G2:G69" showDropDown="0" showInputMessage="0" showErrorMessage="0" allowBlank="0" type="list">
      <formula1>"Must,Should,Could"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16" customWidth="1" min="5" max="5"/>
    <col width="22" customWidth="1" min="6" max="6"/>
  </cols>
  <sheetData>
    <row r="1">
      <c r="A1" s="1" t="inlineStr">
        <is>
          <t>NFR_ID</t>
        </is>
      </c>
      <c r="B1" s="1" t="inlineStr">
        <is>
          <t>Category</t>
        </is>
      </c>
      <c r="C1" s="1" t="inlineStr">
        <is>
          <t>Business_Impact</t>
        </is>
      </c>
      <c r="D1" s="1" t="inlineStr">
        <is>
          <t>Technical_Complexity</t>
        </is>
      </c>
      <c r="E1" s="1" t="inlineStr">
        <is>
          <t>Priority_Score</t>
        </is>
      </c>
      <c r="F1" s="1" t="inlineStr">
        <is>
          <t>Quadrant</t>
        </is>
      </c>
    </row>
    <row r="2">
      <c r="A2" s="2" t="inlineStr">
        <is>
          <t>NFR-PERF-001</t>
        </is>
      </c>
      <c r="B2" s="2" t="inlineStr">
        <is>
          <t>Performance</t>
        </is>
      </c>
      <c r="C2" s="2" t="n">
        <v>5</v>
      </c>
      <c r="D2" s="2" t="n">
        <v>4</v>
      </c>
      <c r="E2" s="2">
        <f>C2*D2</f>
        <v/>
      </c>
      <c r="F2" s="2">
        <f>IF(AND(C2&gt;=4,D2&gt;=4),"Strategic Investment",IF(AND(C2&gt;=4,D2&lt;4),"Quick Win",IF(AND(C2&lt;4,D2&gt;=4),"Hard Problem","Low Priority")))</f>
        <v/>
      </c>
    </row>
    <row r="3">
      <c r="A3" s="4" t="inlineStr">
        <is>
          <t>NFR-PERF-002</t>
        </is>
      </c>
      <c r="B3" s="4" t="inlineStr">
        <is>
          <t>Performance</t>
        </is>
      </c>
      <c r="C3" s="4" t="n">
        <v>5</v>
      </c>
      <c r="D3" s="4" t="n">
        <v>3</v>
      </c>
      <c r="E3" s="4">
        <f>C3*D3</f>
        <v/>
      </c>
      <c r="F3" s="4">
        <f>IF(AND(C3&gt;=4,D3&gt;=4),"Strategic Investment",IF(AND(C3&gt;=4,D3&lt;4),"Quick Win",IF(AND(C3&lt;4,D3&gt;=4),"Hard Problem","Low Priority")))</f>
        <v/>
      </c>
    </row>
    <row r="4">
      <c r="A4" s="2" t="inlineStr">
        <is>
          <t>NFR-PERF-003</t>
        </is>
      </c>
      <c r="B4" s="2" t="inlineStr">
        <is>
          <t>Performance</t>
        </is>
      </c>
      <c r="C4" s="2" t="n">
        <v>4</v>
      </c>
      <c r="D4" s="2" t="n">
        <v>3</v>
      </c>
      <c r="E4" s="2">
        <f>C4*D4</f>
        <v/>
      </c>
      <c r="F4" s="2">
        <f>IF(AND(C4&gt;=4,D4&gt;=4),"Strategic Investment",IF(AND(C4&gt;=4,D4&lt;4),"Quick Win",IF(AND(C4&lt;4,D4&gt;=4),"Hard Problem","Low Priority")))</f>
        <v/>
      </c>
    </row>
    <row r="5">
      <c r="A5" s="4" t="inlineStr">
        <is>
          <t>NFR-PERF-004</t>
        </is>
      </c>
      <c r="B5" s="4" t="inlineStr">
        <is>
          <t>Performance</t>
        </is>
      </c>
      <c r="C5" s="4" t="n">
        <v>4</v>
      </c>
      <c r="D5" s="4" t="n">
        <v>2</v>
      </c>
      <c r="E5" s="4">
        <f>C5*D5</f>
        <v/>
      </c>
      <c r="F5" s="4">
        <f>IF(AND(C5&gt;=4,D5&gt;=4),"Strategic Investment",IF(AND(C5&gt;=4,D5&lt;4),"Quick Win",IF(AND(C5&lt;4,D5&gt;=4),"Hard Problem","Low Priority")))</f>
        <v/>
      </c>
    </row>
    <row r="6">
      <c r="A6" s="2" t="inlineStr">
        <is>
          <t>NFR-PERF-005</t>
        </is>
      </c>
      <c r="B6" s="2" t="inlineStr">
        <is>
          <t>Performance</t>
        </is>
      </c>
      <c r="C6" s="2" t="n">
        <v>5</v>
      </c>
      <c r="D6" s="2" t="n">
        <v>4</v>
      </c>
      <c r="E6" s="2">
        <f>C6*D6</f>
        <v/>
      </c>
      <c r="F6" s="2">
        <f>IF(AND(C6&gt;=4,D6&gt;=4),"Strategic Investment",IF(AND(C6&gt;=4,D6&lt;4),"Quick Win",IF(AND(C6&lt;4,D6&gt;=4),"Hard Problem","Low Priority")))</f>
        <v/>
      </c>
    </row>
    <row r="7">
      <c r="A7" s="4" t="inlineStr">
        <is>
          <t>NFR-PERF-006</t>
        </is>
      </c>
      <c r="B7" s="4" t="inlineStr">
        <is>
          <t>Performance</t>
        </is>
      </c>
      <c r="C7" s="4" t="n">
        <v>4</v>
      </c>
      <c r="D7" s="4" t="n">
        <v>4</v>
      </c>
      <c r="E7" s="4">
        <f>C7*D7</f>
        <v/>
      </c>
      <c r="F7" s="4">
        <f>IF(AND(C7&gt;=4,D7&gt;=4),"Strategic Investment",IF(AND(C7&gt;=4,D7&lt;4),"Quick Win",IF(AND(C7&lt;4,D7&gt;=4),"Hard Problem","Low Priority")))</f>
        <v/>
      </c>
    </row>
    <row r="8">
      <c r="A8" s="2" t="inlineStr">
        <is>
          <t>NFR-PERF-007</t>
        </is>
      </c>
      <c r="B8" s="2" t="inlineStr">
        <is>
          <t>Performance</t>
        </is>
      </c>
      <c r="C8" s="2" t="n">
        <v>3</v>
      </c>
      <c r="D8" s="2" t="n">
        <v>2</v>
      </c>
      <c r="E8" s="2">
        <f>C8*D8</f>
        <v/>
      </c>
      <c r="F8" s="2">
        <f>IF(AND(C8&gt;=4,D8&gt;=4),"Strategic Investment",IF(AND(C8&gt;=4,D8&lt;4),"Quick Win",IF(AND(C8&lt;4,D8&gt;=4),"Hard Problem","Low Priority")))</f>
        <v/>
      </c>
    </row>
    <row r="9">
      <c r="A9" s="4" t="inlineStr">
        <is>
          <t>NFR-PERF-008</t>
        </is>
      </c>
      <c r="B9" s="4" t="inlineStr">
        <is>
          <t>Performance</t>
        </is>
      </c>
      <c r="C9" s="4" t="n">
        <v>5</v>
      </c>
      <c r="D9" s="4" t="n">
        <v>4</v>
      </c>
      <c r="E9" s="4">
        <f>C9*D9</f>
        <v/>
      </c>
      <c r="F9" s="4">
        <f>IF(AND(C9&gt;=4,D9&gt;=4),"Strategic Investment",IF(AND(C9&gt;=4,D9&lt;4),"Quick Win",IF(AND(C9&lt;4,D9&gt;=4),"Hard Problem","Low Priority")))</f>
        <v/>
      </c>
    </row>
    <row r="10">
      <c r="A10" s="2" t="inlineStr">
        <is>
          <t>NFR-PERF-009</t>
        </is>
      </c>
      <c r="B10" s="2" t="inlineStr">
        <is>
          <t>Performance</t>
        </is>
      </c>
      <c r="C10" s="2" t="n">
        <v>3</v>
      </c>
      <c r="D10" s="2" t="n">
        <v>3</v>
      </c>
      <c r="E10" s="2">
        <f>C10*D10</f>
        <v/>
      </c>
      <c r="F10" s="2">
        <f>IF(AND(C10&gt;=4,D10&gt;=4),"Strategic Investment",IF(AND(C10&gt;=4,D10&lt;4),"Quick Win",IF(AND(C10&lt;4,D10&gt;=4),"Hard Problem","Low Priority")))</f>
        <v/>
      </c>
    </row>
    <row r="11">
      <c r="A11" s="4" t="inlineStr">
        <is>
          <t>NFR-PERF-010</t>
        </is>
      </c>
      <c r="B11" s="4" t="inlineStr">
        <is>
          <t>Performance</t>
        </is>
      </c>
      <c r="C11" s="4" t="n">
        <v>4</v>
      </c>
      <c r="D11" s="4" t="n">
        <v>3</v>
      </c>
      <c r="E11" s="4">
        <f>C11*D11</f>
        <v/>
      </c>
      <c r="F11" s="4">
        <f>IF(AND(C11&gt;=4,D11&gt;=4),"Strategic Investment",IF(AND(C11&gt;=4,D11&lt;4),"Quick Win",IF(AND(C11&lt;4,D11&gt;=4),"Hard Problem","Low Priority")))</f>
        <v/>
      </c>
    </row>
    <row r="12">
      <c r="A12" s="2" t="inlineStr">
        <is>
          <t>NFR-SCAL-001</t>
        </is>
      </c>
      <c r="B12" s="2" t="inlineStr">
        <is>
          <t>Scalability</t>
        </is>
      </c>
      <c r="C12" s="2" t="n">
        <v>5</v>
      </c>
      <c r="D12" s="2" t="n">
        <v>5</v>
      </c>
      <c r="E12" s="2">
        <f>C12*D12</f>
        <v/>
      </c>
      <c r="F12" s="2">
        <f>IF(AND(C12&gt;=4,D12&gt;=4),"Strategic Investment",IF(AND(C12&gt;=4,D12&lt;4),"Quick Win",IF(AND(C12&lt;4,D12&gt;=4),"Hard Problem","Low Priority")))</f>
        <v/>
      </c>
    </row>
    <row r="13">
      <c r="A13" s="4" t="inlineStr">
        <is>
          <t>NFR-SCAL-002</t>
        </is>
      </c>
      <c r="B13" s="4" t="inlineStr">
        <is>
          <t>Scalability</t>
        </is>
      </c>
      <c r="C13" s="4" t="n">
        <v>4</v>
      </c>
      <c r="D13" s="4" t="n">
        <v>4</v>
      </c>
      <c r="E13" s="4">
        <f>C13*D13</f>
        <v/>
      </c>
      <c r="F13" s="4">
        <f>IF(AND(C13&gt;=4,D13&gt;=4),"Strategic Investment",IF(AND(C13&gt;=4,D13&lt;4),"Quick Win",IF(AND(C13&lt;4,D13&gt;=4),"Hard Problem","Low Priority")))</f>
        <v/>
      </c>
    </row>
    <row r="14">
      <c r="A14" s="2" t="inlineStr">
        <is>
          <t>NFR-SCAL-003</t>
        </is>
      </c>
      <c r="B14" s="2" t="inlineStr">
        <is>
          <t>Scalability</t>
        </is>
      </c>
      <c r="C14" s="2" t="n">
        <v>4</v>
      </c>
      <c r="D14" s="2" t="n">
        <v>5</v>
      </c>
      <c r="E14" s="2">
        <f>C14*D14</f>
        <v/>
      </c>
      <c r="F14" s="2">
        <f>IF(AND(C14&gt;=4,D14&gt;=4),"Strategic Investment",IF(AND(C14&gt;=4,D14&lt;4),"Quick Win",IF(AND(C14&lt;4,D14&gt;=4),"Hard Problem","Low Priority")))</f>
        <v/>
      </c>
    </row>
    <row r="15">
      <c r="A15" s="4" t="inlineStr">
        <is>
          <t>NFR-SCAL-004</t>
        </is>
      </c>
      <c r="B15" s="4" t="inlineStr">
        <is>
          <t>Scalability</t>
        </is>
      </c>
      <c r="C15" s="4" t="n">
        <v>4</v>
      </c>
      <c r="D15" s="4" t="n">
        <v>3</v>
      </c>
      <c r="E15" s="4">
        <f>C15*D15</f>
        <v/>
      </c>
      <c r="F15" s="4">
        <f>IF(AND(C15&gt;=4,D15&gt;=4),"Strategic Investment",IF(AND(C15&gt;=4,D15&lt;4),"Quick Win",IF(AND(C15&lt;4,D15&gt;=4),"Hard Problem","Low Priority")))</f>
        <v/>
      </c>
    </row>
    <row r="16">
      <c r="A16" s="2" t="inlineStr">
        <is>
          <t>NFR-SCAL-005</t>
        </is>
      </c>
      <c r="B16" s="2" t="inlineStr">
        <is>
          <t>Scalability</t>
        </is>
      </c>
      <c r="C16" s="2" t="n">
        <v>5</v>
      </c>
      <c r="D16" s="2" t="n">
        <v>5</v>
      </c>
      <c r="E16" s="2">
        <f>C16*D16</f>
        <v/>
      </c>
      <c r="F16" s="2">
        <f>IF(AND(C16&gt;=4,D16&gt;=4),"Strategic Investment",IF(AND(C16&gt;=4,D16&lt;4),"Quick Win",IF(AND(C16&lt;4,D16&gt;=4),"Hard Problem","Low Priority")))</f>
        <v/>
      </c>
    </row>
    <row r="17">
      <c r="A17" s="4" t="inlineStr">
        <is>
          <t>NFR-SCAL-006</t>
        </is>
      </c>
      <c r="B17" s="4" t="inlineStr">
        <is>
          <t>Scalability</t>
        </is>
      </c>
      <c r="C17" s="4" t="n">
        <v>4</v>
      </c>
      <c r="D17" s="4" t="n">
        <v>5</v>
      </c>
      <c r="E17" s="4">
        <f>C17*D17</f>
        <v/>
      </c>
      <c r="F17" s="4">
        <f>IF(AND(C17&gt;=4,D17&gt;=4),"Strategic Investment",IF(AND(C17&gt;=4,D17&lt;4),"Quick Win",IF(AND(C17&lt;4,D17&gt;=4),"Hard Problem","Low Priority")))</f>
        <v/>
      </c>
    </row>
    <row r="18">
      <c r="A18" s="2" t="inlineStr">
        <is>
          <t>NFR-SCAL-007</t>
        </is>
      </c>
      <c r="B18" s="2" t="inlineStr">
        <is>
          <t>Scalability</t>
        </is>
      </c>
      <c r="C18" s="2" t="n">
        <v>3</v>
      </c>
      <c r="D18" s="2" t="n">
        <v>2</v>
      </c>
      <c r="E18" s="2">
        <f>C18*D18</f>
        <v/>
      </c>
      <c r="F18" s="2">
        <f>IF(AND(C18&gt;=4,D18&gt;=4),"Strategic Investment",IF(AND(C18&gt;=4,D18&lt;4),"Quick Win",IF(AND(C18&lt;4,D18&gt;=4),"Hard Problem","Low Priority")))</f>
        <v/>
      </c>
    </row>
    <row r="19">
      <c r="A19" s="4" t="inlineStr">
        <is>
          <t>NFR-SCAL-008</t>
        </is>
      </c>
      <c r="B19" s="4" t="inlineStr">
        <is>
          <t>Scalability</t>
        </is>
      </c>
      <c r="C19" s="4" t="n">
        <v>4</v>
      </c>
      <c r="D19" s="4" t="n">
        <v>4</v>
      </c>
      <c r="E19" s="4">
        <f>C19*D19</f>
        <v/>
      </c>
      <c r="F19" s="4">
        <f>IF(AND(C19&gt;=4,D19&gt;=4),"Strategic Investment",IF(AND(C19&gt;=4,D19&lt;4),"Quick Win",IF(AND(C19&lt;4,D19&gt;=4),"Hard Problem","Low Priority")))</f>
        <v/>
      </c>
    </row>
    <row r="20">
      <c r="A20" s="2" t="inlineStr">
        <is>
          <t>NFR-AVAIL-001</t>
        </is>
      </c>
      <c r="B20" s="2" t="inlineStr">
        <is>
          <t>Availability</t>
        </is>
      </c>
      <c r="C20" s="2" t="n">
        <v>5</v>
      </c>
      <c r="D20" s="2" t="n">
        <v>4</v>
      </c>
      <c r="E20" s="2">
        <f>C20*D20</f>
        <v/>
      </c>
      <c r="F20" s="2">
        <f>IF(AND(C20&gt;=4,D20&gt;=4),"Strategic Investment",IF(AND(C20&gt;=4,D20&lt;4),"Quick Win",IF(AND(C20&lt;4,D20&gt;=4),"Hard Problem","Low Priority")))</f>
        <v/>
      </c>
    </row>
    <row r="21">
      <c r="A21" s="4" t="inlineStr">
        <is>
          <t>NFR-AVAIL-002</t>
        </is>
      </c>
      <c r="B21" s="4" t="inlineStr">
        <is>
          <t>Availability</t>
        </is>
      </c>
      <c r="C21" s="4" t="n">
        <v>4</v>
      </c>
      <c r="D21" s="4" t="n">
        <v>3</v>
      </c>
      <c r="E21" s="4">
        <f>C21*D21</f>
        <v/>
      </c>
      <c r="F21" s="4">
        <f>IF(AND(C21&gt;=4,D21&gt;=4),"Strategic Investment",IF(AND(C21&gt;=4,D21&lt;4),"Quick Win",IF(AND(C21&lt;4,D21&gt;=4),"Hard Problem","Low Priority")))</f>
        <v/>
      </c>
    </row>
    <row r="22">
      <c r="A22" s="2" t="inlineStr">
        <is>
          <t>NFR-AVAIL-003</t>
        </is>
      </c>
      <c r="B22" s="2" t="inlineStr">
        <is>
          <t>Availability</t>
        </is>
      </c>
      <c r="C22" s="2" t="n">
        <v>5</v>
      </c>
      <c r="D22" s="2" t="n">
        <v>3</v>
      </c>
      <c r="E22" s="2">
        <f>C22*D22</f>
        <v/>
      </c>
      <c r="F22" s="2">
        <f>IF(AND(C22&gt;=4,D22&gt;=4),"Strategic Investment",IF(AND(C22&gt;=4,D22&lt;4),"Quick Win",IF(AND(C22&lt;4,D22&gt;=4),"Hard Problem","Low Priority")))</f>
        <v/>
      </c>
    </row>
    <row r="23">
      <c r="A23" s="4" t="inlineStr">
        <is>
          <t>NFR-AVAIL-004</t>
        </is>
      </c>
      <c r="B23" s="4" t="inlineStr">
        <is>
          <t>Availability</t>
        </is>
      </c>
      <c r="C23" s="4" t="n">
        <v>5</v>
      </c>
      <c r="D23" s="4" t="n">
        <v>3</v>
      </c>
      <c r="E23" s="4">
        <f>C23*D23</f>
        <v/>
      </c>
      <c r="F23" s="4">
        <f>IF(AND(C23&gt;=4,D23&gt;=4),"Strategic Investment",IF(AND(C23&gt;=4,D23&lt;4),"Quick Win",IF(AND(C23&lt;4,D23&gt;=4),"Hard Problem","Low Priority")))</f>
        <v/>
      </c>
    </row>
    <row r="24">
      <c r="A24" s="2" t="inlineStr">
        <is>
          <t>NFR-AVAIL-005</t>
        </is>
      </c>
      <c r="B24" s="2" t="inlineStr">
        <is>
          <t>Availability</t>
        </is>
      </c>
      <c r="C24" s="2" t="n">
        <v>5</v>
      </c>
      <c r="D24" s="2" t="n">
        <v>4</v>
      </c>
      <c r="E24" s="2">
        <f>C24*D24</f>
        <v/>
      </c>
      <c r="F24" s="2">
        <f>IF(AND(C24&gt;=4,D24&gt;=4),"Strategic Investment",IF(AND(C24&gt;=4,D24&lt;4),"Quick Win",IF(AND(C24&lt;4,D24&gt;=4),"Hard Problem","Low Priority")))</f>
        <v/>
      </c>
    </row>
    <row r="25">
      <c r="A25" s="4" t="inlineStr">
        <is>
          <t>NFR-AVAIL-006</t>
        </is>
      </c>
      <c r="B25" s="4" t="inlineStr">
        <is>
          <t>Availability</t>
        </is>
      </c>
      <c r="C25" s="4" t="n">
        <v>5</v>
      </c>
      <c r="D25" s="4" t="n">
        <v>4</v>
      </c>
      <c r="E25" s="4">
        <f>C25*D25</f>
        <v/>
      </c>
      <c r="F25" s="4">
        <f>IF(AND(C25&gt;=4,D25&gt;=4),"Strategic Investment",IF(AND(C25&gt;=4,D25&lt;4),"Quick Win",IF(AND(C25&lt;4,D25&gt;=4),"Hard Problem","Low Priority")))</f>
        <v/>
      </c>
    </row>
    <row r="26">
      <c r="A26" s="2" t="inlineStr">
        <is>
          <t>NFR-AVAIL-007</t>
        </is>
      </c>
      <c r="B26" s="2" t="inlineStr">
        <is>
          <t>Availability</t>
        </is>
      </c>
      <c r="C26" s="2" t="n">
        <v>4</v>
      </c>
      <c r="D26" s="2" t="n">
        <v>4</v>
      </c>
      <c r="E26" s="2">
        <f>C26*D26</f>
        <v/>
      </c>
      <c r="F26" s="2">
        <f>IF(AND(C26&gt;=4,D26&gt;=4),"Strategic Investment",IF(AND(C26&gt;=4,D26&lt;4),"Quick Win",IF(AND(C26&lt;4,D26&gt;=4),"Hard Problem","Low Priority")))</f>
        <v/>
      </c>
    </row>
    <row r="27">
      <c r="A27" s="4" t="inlineStr">
        <is>
          <t>NFR-AVAIL-008</t>
        </is>
      </c>
      <c r="B27" s="4" t="inlineStr">
        <is>
          <t>Availability</t>
        </is>
      </c>
      <c r="C27" s="4" t="n">
        <v>4</v>
      </c>
      <c r="D27" s="4" t="n">
        <v>2</v>
      </c>
      <c r="E27" s="4">
        <f>C27*D27</f>
        <v/>
      </c>
      <c r="F27" s="4">
        <f>IF(AND(C27&gt;=4,D27&gt;=4),"Strategic Investment",IF(AND(C27&gt;=4,D27&lt;4),"Quick Win",IF(AND(C27&lt;4,D27&gt;=4),"Hard Problem","Low Priority")))</f>
        <v/>
      </c>
    </row>
    <row r="28">
      <c r="A28" s="2" t="inlineStr">
        <is>
          <t>NFR-SEC-001</t>
        </is>
      </c>
      <c r="B28" s="2" t="inlineStr">
        <is>
          <t>Security</t>
        </is>
      </c>
      <c r="C28" s="2" t="n">
        <v>5</v>
      </c>
      <c r="D28" s="2" t="n">
        <v>3</v>
      </c>
      <c r="E28" s="2">
        <f>C28*D28</f>
        <v/>
      </c>
      <c r="F28" s="2">
        <f>IF(AND(C28&gt;=4,D28&gt;=4),"Strategic Investment",IF(AND(C28&gt;=4,D28&lt;4),"Quick Win",IF(AND(C28&lt;4,D28&gt;=4),"Hard Problem","Low Priority")))</f>
        <v/>
      </c>
    </row>
    <row r="29">
      <c r="A29" s="4" t="inlineStr">
        <is>
          <t>NFR-SEC-002</t>
        </is>
      </c>
      <c r="B29" s="4" t="inlineStr">
        <is>
          <t>Security</t>
        </is>
      </c>
      <c r="C29" s="4" t="n">
        <v>5</v>
      </c>
      <c r="D29" s="4" t="n">
        <v>3</v>
      </c>
      <c r="E29" s="4">
        <f>C29*D29</f>
        <v/>
      </c>
      <c r="F29" s="4">
        <f>IF(AND(C29&gt;=4,D29&gt;=4),"Strategic Investment",IF(AND(C29&gt;=4,D29&lt;4),"Quick Win",IF(AND(C29&lt;4,D29&gt;=4),"Hard Problem","Low Priority")))</f>
        <v/>
      </c>
    </row>
    <row r="30">
      <c r="A30" s="2" t="inlineStr">
        <is>
          <t>NFR-SEC-003</t>
        </is>
      </c>
      <c r="B30" s="2" t="inlineStr">
        <is>
          <t>Security</t>
        </is>
      </c>
      <c r="C30" s="2" t="n">
        <v>5</v>
      </c>
      <c r="D30" s="2" t="n">
        <v>2</v>
      </c>
      <c r="E30" s="2">
        <f>C30*D30</f>
        <v/>
      </c>
      <c r="F30" s="2">
        <f>IF(AND(C30&gt;=4,D30&gt;=4),"Strategic Investment",IF(AND(C30&gt;=4,D30&lt;4),"Quick Win",IF(AND(C30&lt;4,D30&gt;=4),"Hard Problem","Low Priority")))</f>
        <v/>
      </c>
    </row>
    <row r="31">
      <c r="A31" s="4" t="inlineStr">
        <is>
          <t>NFR-SEC-004</t>
        </is>
      </c>
      <c r="B31" s="4" t="inlineStr">
        <is>
          <t>Security</t>
        </is>
      </c>
      <c r="C31" s="4" t="n">
        <v>5</v>
      </c>
      <c r="D31" s="4" t="n">
        <v>2</v>
      </c>
      <c r="E31" s="4">
        <f>C31*D31</f>
        <v/>
      </c>
      <c r="F31" s="4">
        <f>IF(AND(C31&gt;=4,D31&gt;=4),"Strategic Investment",IF(AND(C31&gt;=4,D31&lt;4),"Quick Win",IF(AND(C31&lt;4,D31&gt;=4),"Hard Problem","Low Priority")))</f>
        <v/>
      </c>
    </row>
    <row r="32">
      <c r="A32" s="2" t="inlineStr">
        <is>
          <t>NFR-SEC-005</t>
        </is>
      </c>
      <c r="B32" s="2" t="inlineStr">
        <is>
          <t>Security</t>
        </is>
      </c>
      <c r="C32" s="2" t="n">
        <v>4</v>
      </c>
      <c r="D32" s="2" t="n">
        <v>2</v>
      </c>
      <c r="E32" s="2">
        <f>C32*D32</f>
        <v/>
      </c>
      <c r="F32" s="2">
        <f>IF(AND(C32&gt;=4,D32&gt;=4),"Strategic Investment",IF(AND(C32&gt;=4,D32&lt;4),"Quick Win",IF(AND(C32&lt;4,D32&gt;=4),"Hard Problem","Low Priority")))</f>
        <v/>
      </c>
    </row>
    <row r="33">
      <c r="A33" s="4" t="inlineStr">
        <is>
          <t>NFR-SEC-006</t>
        </is>
      </c>
      <c r="B33" s="4" t="inlineStr">
        <is>
          <t>Security</t>
        </is>
      </c>
      <c r="C33" s="4" t="n">
        <v>5</v>
      </c>
      <c r="D33" s="4" t="n">
        <v>3</v>
      </c>
      <c r="E33" s="4">
        <f>C33*D33</f>
        <v/>
      </c>
      <c r="F33" s="4">
        <f>IF(AND(C33&gt;=4,D33&gt;=4),"Strategic Investment",IF(AND(C33&gt;=4,D33&lt;4),"Quick Win",IF(AND(C33&lt;4,D33&gt;=4),"Hard Problem","Low Priority")))</f>
        <v/>
      </c>
    </row>
    <row r="34">
      <c r="A34" s="2" t="inlineStr">
        <is>
          <t>NFR-SEC-007</t>
        </is>
      </c>
      <c r="B34" s="2" t="inlineStr">
        <is>
          <t>Security</t>
        </is>
      </c>
      <c r="C34" s="2" t="n">
        <v>5</v>
      </c>
      <c r="D34" s="2" t="n">
        <v>3</v>
      </c>
      <c r="E34" s="2">
        <f>C34*D34</f>
        <v/>
      </c>
      <c r="F34" s="2">
        <f>IF(AND(C34&gt;=4,D34&gt;=4),"Strategic Investment",IF(AND(C34&gt;=4,D34&lt;4),"Quick Win",IF(AND(C34&lt;4,D34&gt;=4),"Hard Problem","Low Priority")))</f>
        <v/>
      </c>
    </row>
    <row r="35">
      <c r="A35" s="4" t="inlineStr">
        <is>
          <t>NFR-SEC-008</t>
        </is>
      </c>
      <c r="B35" s="4" t="inlineStr">
        <is>
          <t>Security</t>
        </is>
      </c>
      <c r="C35" s="4" t="n">
        <v>4</v>
      </c>
      <c r="D35" s="4" t="n">
        <v>2</v>
      </c>
      <c r="E35" s="4">
        <f>C35*D35</f>
        <v/>
      </c>
      <c r="F35" s="4">
        <f>IF(AND(C35&gt;=4,D35&gt;=4),"Strategic Investment",IF(AND(C35&gt;=4,D35&lt;4),"Quick Win",IF(AND(C35&lt;4,D35&gt;=4),"Hard Problem","Low Priority")))</f>
        <v/>
      </c>
    </row>
    <row r="36">
      <c r="A36" s="2" t="inlineStr">
        <is>
          <t>NFR-SEC-009</t>
        </is>
      </c>
      <c r="B36" s="2" t="inlineStr">
        <is>
          <t>Security</t>
        </is>
      </c>
      <c r="C36" s="2" t="n">
        <v>5</v>
      </c>
      <c r="D36" s="2" t="n">
        <v>2</v>
      </c>
      <c r="E36" s="2">
        <f>C36*D36</f>
        <v/>
      </c>
      <c r="F36" s="2">
        <f>IF(AND(C36&gt;=4,D36&gt;=4),"Strategic Investment",IF(AND(C36&gt;=4,D36&lt;4),"Quick Win",IF(AND(C36&lt;4,D36&gt;=4),"Hard Problem","Low Priority")))</f>
        <v/>
      </c>
    </row>
    <row r="37">
      <c r="A37" s="4" t="inlineStr">
        <is>
          <t>NFR-SEC-010</t>
        </is>
      </c>
      <c r="B37" s="4" t="inlineStr">
        <is>
          <t>Security</t>
        </is>
      </c>
      <c r="C37" s="4" t="n">
        <v>4</v>
      </c>
      <c r="D37" s="4" t="n">
        <v>4</v>
      </c>
      <c r="E37" s="4">
        <f>C37*D37</f>
        <v/>
      </c>
      <c r="F37" s="4">
        <f>IF(AND(C37&gt;=4,D37&gt;=4),"Strategic Investment",IF(AND(C37&gt;=4,D37&lt;4),"Quick Win",IF(AND(C37&lt;4,D37&gt;=4),"Hard Problem","Low Priority")))</f>
        <v/>
      </c>
    </row>
    <row r="38">
      <c r="A38" s="2" t="inlineStr">
        <is>
          <t>NFR-SEC-011</t>
        </is>
      </c>
      <c r="B38" s="2" t="inlineStr">
        <is>
          <t>Security</t>
        </is>
      </c>
      <c r="C38" s="2" t="n">
        <v>4</v>
      </c>
      <c r="D38" s="2" t="n">
        <v>4</v>
      </c>
      <c r="E38" s="2">
        <f>C38*D38</f>
        <v/>
      </c>
      <c r="F38" s="2">
        <f>IF(AND(C38&gt;=4,D38&gt;=4),"Strategic Investment",IF(AND(C38&gt;=4,D38&lt;4),"Quick Win",IF(AND(C38&lt;4,D38&gt;=4),"Hard Problem","Low Priority")))</f>
        <v/>
      </c>
    </row>
    <row r="39">
      <c r="A39" s="4" t="inlineStr">
        <is>
          <t>NFR-SEC-012</t>
        </is>
      </c>
      <c r="B39" s="4" t="inlineStr">
        <is>
          <t>Security</t>
        </is>
      </c>
      <c r="C39" s="4" t="n">
        <v>5</v>
      </c>
      <c r="D39" s="4" t="n">
        <v>3</v>
      </c>
      <c r="E39" s="4">
        <f>C39*D39</f>
        <v/>
      </c>
      <c r="F39" s="4">
        <f>IF(AND(C39&gt;=4,D39&gt;=4),"Strategic Investment",IF(AND(C39&gt;=4,D39&lt;4),"Quick Win",IF(AND(C39&lt;4,D39&gt;=4),"Hard Problem","Low Priority")))</f>
        <v/>
      </c>
    </row>
    <row r="40">
      <c r="A40" s="2" t="inlineStr">
        <is>
          <t>NFR-COMP-001</t>
        </is>
      </c>
      <c r="B40" s="2" t="inlineStr">
        <is>
          <t>Compliance</t>
        </is>
      </c>
      <c r="C40" s="2" t="n">
        <v>5</v>
      </c>
      <c r="D40" s="2" t="n">
        <v>3</v>
      </c>
      <c r="E40" s="2">
        <f>C40*D40</f>
        <v/>
      </c>
      <c r="F40" s="2">
        <f>IF(AND(C40&gt;=4,D40&gt;=4),"Strategic Investment",IF(AND(C40&gt;=4,D40&lt;4),"Quick Win",IF(AND(C40&lt;4,D40&gt;=4),"Hard Problem","Low Priority")))</f>
        <v/>
      </c>
    </row>
    <row r="41">
      <c r="A41" s="4" t="inlineStr">
        <is>
          <t>NFR-COMP-002</t>
        </is>
      </c>
      <c r="B41" s="4" t="inlineStr">
        <is>
          <t>Compliance</t>
        </is>
      </c>
      <c r="C41" s="4" t="n">
        <v>5</v>
      </c>
      <c r="D41" s="4" t="n">
        <v>3</v>
      </c>
      <c r="E41" s="4">
        <f>C41*D41</f>
        <v/>
      </c>
      <c r="F41" s="4">
        <f>IF(AND(C41&gt;=4,D41&gt;=4),"Strategic Investment",IF(AND(C41&gt;=4,D41&lt;4),"Quick Win",IF(AND(C41&lt;4,D41&gt;=4),"Hard Problem","Low Priority")))</f>
        <v/>
      </c>
    </row>
    <row r="42">
      <c r="A42" s="2" t="inlineStr">
        <is>
          <t>NFR-COMP-003</t>
        </is>
      </c>
      <c r="B42" s="2" t="inlineStr">
        <is>
          <t>Compliance</t>
        </is>
      </c>
      <c r="C42" s="2" t="n">
        <v>4</v>
      </c>
      <c r="D42" s="2" t="n">
        <v>2</v>
      </c>
      <c r="E42" s="2">
        <f>C42*D42</f>
        <v/>
      </c>
      <c r="F42" s="2">
        <f>IF(AND(C42&gt;=4,D42&gt;=4),"Strategic Investment",IF(AND(C42&gt;=4,D42&lt;4),"Quick Win",IF(AND(C42&lt;4,D42&gt;=4),"Hard Problem","Low Priority")))</f>
        <v/>
      </c>
    </row>
    <row r="43">
      <c r="A43" s="4" t="inlineStr">
        <is>
          <t>NFR-COMP-004</t>
        </is>
      </c>
      <c r="B43" s="4" t="inlineStr">
        <is>
          <t>Compliance</t>
        </is>
      </c>
      <c r="C43" s="4" t="n">
        <v>4</v>
      </c>
      <c r="D43" s="4" t="n">
        <v>2</v>
      </c>
      <c r="E43" s="4">
        <f>C43*D43</f>
        <v/>
      </c>
      <c r="F43" s="4">
        <f>IF(AND(C43&gt;=4,D43&gt;=4),"Strategic Investment",IF(AND(C43&gt;=4,D43&lt;4),"Quick Win",IF(AND(C43&lt;4,D43&gt;=4),"Hard Problem","Low Priority")))</f>
        <v/>
      </c>
    </row>
    <row r="44">
      <c r="A44" s="2" t="inlineStr">
        <is>
          <t>NFR-COMP-005</t>
        </is>
      </c>
      <c r="B44" s="2" t="inlineStr">
        <is>
          <t>Compliance</t>
        </is>
      </c>
      <c r="C44" s="2" t="n">
        <v>4</v>
      </c>
      <c r="D44" s="2" t="n">
        <v>2</v>
      </c>
      <c r="E44" s="2">
        <f>C44*D44</f>
        <v/>
      </c>
      <c r="F44" s="2">
        <f>IF(AND(C44&gt;=4,D44&gt;=4),"Strategic Investment",IF(AND(C44&gt;=4,D44&lt;4),"Quick Win",IF(AND(C44&lt;4,D44&gt;=4),"Hard Problem","Low Priority")))</f>
        <v/>
      </c>
    </row>
    <row r="45">
      <c r="A45" s="4" t="inlineStr">
        <is>
          <t>NFR-COMP-006</t>
        </is>
      </c>
      <c r="B45" s="4" t="inlineStr">
        <is>
          <t>Compliance</t>
        </is>
      </c>
      <c r="C45" s="4" t="n">
        <v>3</v>
      </c>
      <c r="D45" s="4" t="n">
        <v>3</v>
      </c>
      <c r="E45" s="4">
        <f>C45*D45</f>
        <v/>
      </c>
      <c r="F45" s="4">
        <f>IF(AND(C45&gt;=4,D45&gt;=4),"Strategic Investment",IF(AND(C45&gt;=4,D45&lt;4),"Quick Win",IF(AND(C45&lt;4,D45&gt;=4),"Hard Problem","Low Priority")))</f>
        <v/>
      </c>
    </row>
    <row r="46">
      <c r="A46" s="2" t="inlineStr">
        <is>
          <t>NFR-OBS-001</t>
        </is>
      </c>
      <c r="B46" s="2" t="inlineStr">
        <is>
          <t>Observability</t>
        </is>
      </c>
      <c r="C46" s="2" t="n">
        <v>4</v>
      </c>
      <c r="D46" s="2" t="n">
        <v>3</v>
      </c>
      <c r="E46" s="2">
        <f>C46*D46</f>
        <v/>
      </c>
      <c r="F46" s="2">
        <f>IF(AND(C46&gt;=4,D46&gt;=4),"Strategic Investment",IF(AND(C46&gt;=4,D46&lt;4),"Quick Win",IF(AND(C46&lt;4,D46&gt;=4),"Hard Problem","Low Priority")))</f>
        <v/>
      </c>
    </row>
    <row r="47">
      <c r="A47" s="4" t="inlineStr">
        <is>
          <t>NFR-OBS-002</t>
        </is>
      </c>
      <c r="B47" s="4" t="inlineStr">
        <is>
          <t>Observability</t>
        </is>
      </c>
      <c r="C47" s="4" t="n">
        <v>4</v>
      </c>
      <c r="D47" s="4" t="n">
        <v>4</v>
      </c>
      <c r="E47" s="4">
        <f>C47*D47</f>
        <v/>
      </c>
      <c r="F47" s="4">
        <f>IF(AND(C47&gt;=4,D47&gt;=4),"Strategic Investment",IF(AND(C47&gt;=4,D47&lt;4),"Quick Win",IF(AND(C47&lt;4,D47&gt;=4),"Hard Problem","Low Priority")))</f>
        <v/>
      </c>
    </row>
    <row r="48">
      <c r="A48" s="2" t="inlineStr">
        <is>
          <t>NFR-OBS-003</t>
        </is>
      </c>
      <c r="B48" s="2" t="inlineStr">
        <is>
          <t>Observability</t>
        </is>
      </c>
      <c r="C48" s="2" t="n">
        <v>5</v>
      </c>
      <c r="D48" s="2" t="n">
        <v>3</v>
      </c>
      <c r="E48" s="2">
        <f>C48*D48</f>
        <v/>
      </c>
      <c r="F48" s="2">
        <f>IF(AND(C48&gt;=4,D48&gt;=4),"Strategic Investment",IF(AND(C48&gt;=4,D48&lt;4),"Quick Win",IF(AND(C48&lt;4,D48&gt;=4),"Hard Problem","Low Priority")))</f>
        <v/>
      </c>
    </row>
    <row r="49">
      <c r="A49" s="4" t="inlineStr">
        <is>
          <t>NFR-OBS-004</t>
        </is>
      </c>
      <c r="B49" s="4" t="inlineStr">
        <is>
          <t>Observability</t>
        </is>
      </c>
      <c r="C49" s="4" t="n">
        <v>3</v>
      </c>
      <c r="D49" s="4" t="n">
        <v>2</v>
      </c>
      <c r="E49" s="4">
        <f>C49*D49</f>
        <v/>
      </c>
      <c r="F49" s="4">
        <f>IF(AND(C49&gt;=4,D49&gt;=4),"Strategic Investment",IF(AND(C49&gt;=4,D49&lt;4),"Quick Win",IF(AND(C49&lt;4,D49&gt;=4),"Hard Problem","Low Priority")))</f>
        <v/>
      </c>
    </row>
    <row r="50">
      <c r="A50" s="2" t="inlineStr">
        <is>
          <t>NFR-OBS-005</t>
        </is>
      </c>
      <c r="B50" s="2" t="inlineStr">
        <is>
          <t>Observability</t>
        </is>
      </c>
      <c r="C50" s="2" t="n">
        <v>4</v>
      </c>
      <c r="D50" s="2" t="n">
        <v>2</v>
      </c>
      <c r="E50" s="2">
        <f>C50*D50</f>
        <v/>
      </c>
      <c r="F50" s="2">
        <f>IF(AND(C50&gt;=4,D50&gt;=4),"Strategic Investment",IF(AND(C50&gt;=4,D50&lt;4),"Quick Win",IF(AND(C50&lt;4,D50&gt;=4),"Hard Problem","Low Priority")))</f>
        <v/>
      </c>
    </row>
    <row r="51">
      <c r="A51" s="4" t="inlineStr">
        <is>
          <t>NFR-OBS-006</t>
        </is>
      </c>
      <c r="B51" s="4" t="inlineStr">
        <is>
          <t>Observability</t>
        </is>
      </c>
      <c r="C51" s="4" t="n">
        <v>4</v>
      </c>
      <c r="D51" s="4" t="n">
        <v>3</v>
      </c>
      <c r="E51" s="4">
        <f>C51*D51</f>
        <v/>
      </c>
      <c r="F51" s="4">
        <f>IF(AND(C51&gt;=4,D51&gt;=4),"Strategic Investment",IF(AND(C51&gt;=4,D51&lt;4),"Quick Win",IF(AND(C51&lt;4,D51&gt;=4),"Hard Problem","Low Priority")))</f>
        <v/>
      </c>
    </row>
    <row r="52">
      <c r="A52" s="2" t="inlineStr">
        <is>
          <t>NFR-DR-001</t>
        </is>
      </c>
      <c r="B52" s="2" t="inlineStr">
        <is>
          <t>Disaster Recovery</t>
        </is>
      </c>
      <c r="C52" s="2" t="n">
        <v>5</v>
      </c>
      <c r="D52" s="2" t="n">
        <v>5</v>
      </c>
      <c r="E52" s="2">
        <f>C52*D52</f>
        <v/>
      </c>
      <c r="F52" s="2">
        <f>IF(AND(C52&gt;=4,D52&gt;=4),"Strategic Investment",IF(AND(C52&gt;=4,D52&lt;4),"Quick Win",IF(AND(C52&lt;4,D52&gt;=4),"Hard Problem","Low Priority")))</f>
        <v/>
      </c>
    </row>
    <row r="53">
      <c r="A53" s="4" t="inlineStr">
        <is>
          <t>NFR-DR-002</t>
        </is>
      </c>
      <c r="B53" s="4" t="inlineStr">
        <is>
          <t>Disaster Recovery</t>
        </is>
      </c>
      <c r="C53" s="4" t="n">
        <v>4</v>
      </c>
      <c r="D53" s="4" t="n">
        <v>3</v>
      </c>
      <c r="E53" s="4">
        <f>C53*D53</f>
        <v/>
      </c>
      <c r="F53" s="4">
        <f>IF(AND(C53&gt;=4,D53&gt;=4),"Strategic Investment",IF(AND(C53&gt;=4,D53&lt;4),"Quick Win",IF(AND(C53&lt;4,D53&gt;=4),"Hard Problem","Low Priority")))</f>
        <v/>
      </c>
    </row>
    <row r="54">
      <c r="A54" s="2" t="inlineStr">
        <is>
          <t>NFR-DR-003</t>
        </is>
      </c>
      <c r="B54" s="2" t="inlineStr">
        <is>
          <t>Disaster Recovery</t>
        </is>
      </c>
      <c r="C54" s="2" t="n">
        <v>5</v>
      </c>
      <c r="D54" s="2" t="n">
        <v>3</v>
      </c>
      <c r="E54" s="2">
        <f>C54*D54</f>
        <v/>
      </c>
      <c r="F54" s="2">
        <f>IF(AND(C54&gt;=4,D54&gt;=4),"Strategic Investment",IF(AND(C54&gt;=4,D54&lt;4),"Quick Win",IF(AND(C54&lt;4,D54&gt;=4),"Hard Problem","Low Priority")))</f>
        <v/>
      </c>
    </row>
    <row r="55">
      <c r="A55" s="4" t="inlineStr">
        <is>
          <t>NFR-DR-004</t>
        </is>
      </c>
      <c r="B55" s="4" t="inlineStr">
        <is>
          <t>Disaster Recovery</t>
        </is>
      </c>
      <c r="C55" s="4" t="n">
        <v>4</v>
      </c>
      <c r="D55" s="4" t="n">
        <v>2</v>
      </c>
      <c r="E55" s="4">
        <f>C55*D55</f>
        <v/>
      </c>
      <c r="F55" s="4">
        <f>IF(AND(C55&gt;=4,D55&gt;=4),"Strategic Investment",IF(AND(C55&gt;=4,D55&lt;4),"Quick Win",IF(AND(C55&lt;4,D55&gt;=4),"Hard Problem","Low Priority")))</f>
        <v/>
      </c>
    </row>
    <row r="56">
      <c r="A56" s="2" t="inlineStr">
        <is>
          <t>NFR-I18N-001</t>
        </is>
      </c>
      <c r="B56" s="2" t="inlineStr">
        <is>
          <t>Internationalisation</t>
        </is>
      </c>
      <c r="C56" s="2" t="n">
        <v>5</v>
      </c>
      <c r="D56" s="2" t="n">
        <v>3</v>
      </c>
      <c r="E56" s="2">
        <f>C56*D56</f>
        <v/>
      </c>
      <c r="F56" s="2">
        <f>IF(AND(C56&gt;=4,D56&gt;=4),"Strategic Investment",IF(AND(C56&gt;=4,D56&lt;4),"Quick Win",IF(AND(C56&lt;4,D56&gt;=4),"Hard Problem","Low Priority")))</f>
        <v/>
      </c>
    </row>
    <row r="57">
      <c r="A57" s="4" t="inlineStr">
        <is>
          <t>NFR-I18N-002</t>
        </is>
      </c>
      <c r="B57" s="4" t="inlineStr">
        <is>
          <t>Internationalisation</t>
        </is>
      </c>
      <c r="C57" s="4" t="n">
        <v>3</v>
      </c>
      <c r="D57" s="4" t="n">
        <v>2</v>
      </c>
      <c r="E57" s="4">
        <f>C57*D57</f>
        <v/>
      </c>
      <c r="F57" s="4">
        <f>IF(AND(C57&gt;=4,D57&gt;=4),"Strategic Investment",IF(AND(C57&gt;=4,D57&lt;4),"Quick Win",IF(AND(C57&lt;4,D57&gt;=4),"Hard Problem","Low Priority")))</f>
        <v/>
      </c>
    </row>
    <row r="58">
      <c r="A58" s="2" t="inlineStr">
        <is>
          <t>NFR-I18N-003</t>
        </is>
      </c>
      <c r="B58" s="2" t="inlineStr">
        <is>
          <t>Internationalisation</t>
        </is>
      </c>
      <c r="C58" s="2" t="n">
        <v>5</v>
      </c>
      <c r="D58" s="2" t="n">
        <v>3</v>
      </c>
      <c r="E58" s="2">
        <f>C58*D58</f>
        <v/>
      </c>
      <c r="F58" s="2">
        <f>IF(AND(C58&gt;=4,D58&gt;=4),"Strategic Investment",IF(AND(C58&gt;=4,D58&lt;4),"Quick Win",IF(AND(C58&lt;4,D58&gt;=4),"Hard Problem","Low Priority")))</f>
        <v/>
      </c>
    </row>
    <row r="59">
      <c r="A59" s="4" t="inlineStr">
        <is>
          <t>NFR-I18N-004</t>
        </is>
      </c>
      <c r="B59" s="4" t="inlineStr">
        <is>
          <t>Internationalisation</t>
        </is>
      </c>
      <c r="C59" s="4" t="n">
        <v>3</v>
      </c>
      <c r="D59" s="4" t="n">
        <v>3</v>
      </c>
      <c r="E59" s="4">
        <f>C59*D59</f>
        <v/>
      </c>
      <c r="F59" s="4">
        <f>IF(AND(C59&gt;=4,D59&gt;=4),"Strategic Investment",IF(AND(C59&gt;=4,D59&lt;4),"Quick Win",IF(AND(C59&lt;4,D59&gt;=4),"Hard Problem","Low Priority")))</f>
        <v/>
      </c>
    </row>
    <row r="60">
      <c r="A60" s="2" t="inlineStr">
        <is>
          <t>NFR-I18N-005</t>
        </is>
      </c>
      <c r="B60" s="2" t="inlineStr">
        <is>
          <t>Internationalisation</t>
        </is>
      </c>
      <c r="C60" s="2" t="n">
        <v>3</v>
      </c>
      <c r="D60" s="2" t="n">
        <v>2</v>
      </c>
      <c r="E60" s="2">
        <f>C60*D60</f>
        <v/>
      </c>
      <c r="F60" s="2">
        <f>IF(AND(C60&gt;=4,D60&gt;=4),"Strategic Investment",IF(AND(C60&gt;=4,D60&lt;4),"Quick Win",IF(AND(C60&lt;4,D60&gt;=4),"Hard Problem","Low Priority")))</f>
        <v/>
      </c>
    </row>
    <row r="61">
      <c r="A61" s="4" t="inlineStr">
        <is>
          <t>NFR-MAINT-001</t>
        </is>
      </c>
      <c r="B61" s="4" t="inlineStr">
        <is>
          <t>Maintainability</t>
        </is>
      </c>
      <c r="C61" s="4" t="n">
        <v>4</v>
      </c>
      <c r="D61" s="4" t="n">
        <v>2</v>
      </c>
      <c r="E61" s="4">
        <f>C61*D61</f>
        <v/>
      </c>
      <c r="F61" s="4">
        <f>IF(AND(C61&gt;=4,D61&gt;=4),"Strategic Investment",IF(AND(C61&gt;=4,D61&lt;4),"Quick Win",IF(AND(C61&lt;4,D61&gt;=4),"Hard Problem","Low Priority")))</f>
        <v/>
      </c>
    </row>
    <row r="62">
      <c r="A62" s="2" t="inlineStr">
        <is>
          <t>NFR-MAINT-002</t>
        </is>
      </c>
      <c r="B62" s="2" t="inlineStr">
        <is>
          <t>Maintainability</t>
        </is>
      </c>
      <c r="C62" s="2" t="n">
        <v>4</v>
      </c>
      <c r="D62" s="2" t="n">
        <v>4</v>
      </c>
      <c r="E62" s="2">
        <f>C62*D62</f>
        <v/>
      </c>
      <c r="F62" s="2">
        <f>IF(AND(C62&gt;=4,D62&gt;=4),"Strategic Investment",IF(AND(C62&gt;=4,D62&lt;4),"Quick Win",IF(AND(C62&lt;4,D62&gt;=4),"Hard Problem","Low Priority")))</f>
        <v/>
      </c>
    </row>
    <row r="63">
      <c r="A63" s="4" t="inlineStr">
        <is>
          <t>NFR-MAINT-003</t>
        </is>
      </c>
      <c r="B63" s="4" t="inlineStr">
        <is>
          <t>Maintainability</t>
        </is>
      </c>
      <c r="C63" s="4" t="n">
        <v>4</v>
      </c>
      <c r="D63" s="4" t="n">
        <v>3</v>
      </c>
      <c r="E63" s="4">
        <f>C63*D63</f>
        <v/>
      </c>
      <c r="F63" s="4">
        <f>IF(AND(C63&gt;=4,D63&gt;=4),"Strategic Investment",IF(AND(C63&gt;=4,D63&lt;4),"Quick Win",IF(AND(C63&lt;4,D63&gt;=4),"Hard Problem","Low Priority")))</f>
        <v/>
      </c>
    </row>
    <row r="64">
      <c r="A64" s="2" t="inlineStr">
        <is>
          <t>NFR-MAINT-004</t>
        </is>
      </c>
      <c r="B64" s="2" t="inlineStr">
        <is>
          <t>Maintainability</t>
        </is>
      </c>
      <c r="C64" s="2" t="n">
        <v>4</v>
      </c>
      <c r="D64" s="2" t="n">
        <v>3</v>
      </c>
      <c r="E64" s="2">
        <f>C64*D64</f>
        <v/>
      </c>
      <c r="F64" s="2">
        <f>IF(AND(C64&gt;=4,D64&gt;=4),"Strategic Investment",IF(AND(C64&gt;=4,D64&lt;4),"Quick Win",IF(AND(C64&lt;4,D64&gt;=4),"Hard Problem","Low Priority")))</f>
        <v/>
      </c>
    </row>
    <row r="65">
      <c r="A65" s="4" t="inlineStr">
        <is>
          <t>NFR-MAINT-005</t>
        </is>
      </c>
      <c r="B65" s="4" t="inlineStr">
        <is>
          <t>Maintainability</t>
        </is>
      </c>
      <c r="C65" s="4" t="n">
        <v>5</v>
      </c>
      <c r="D65" s="4" t="n">
        <v>3</v>
      </c>
      <c r="E65" s="4">
        <f>C65*D65</f>
        <v/>
      </c>
      <c r="F65" s="4">
        <f>IF(AND(C65&gt;=4,D65&gt;=4),"Strategic Investment",IF(AND(C65&gt;=4,D65&lt;4),"Quick Win",IF(AND(C65&lt;4,D65&gt;=4),"Hard Problem","Low Priority")))</f>
        <v/>
      </c>
    </row>
    <row r="66">
      <c r="A66" s="2" t="inlineStr">
        <is>
          <t>NFR-CAP-001</t>
        </is>
      </c>
      <c r="B66" s="2" t="inlineStr">
        <is>
          <t>Capacity</t>
        </is>
      </c>
      <c r="C66" s="2" t="n">
        <v>4</v>
      </c>
      <c r="D66" s="2" t="n">
        <v>2</v>
      </c>
      <c r="E66" s="2">
        <f>C66*D66</f>
        <v/>
      </c>
      <c r="F66" s="2">
        <f>IF(AND(C66&gt;=4,D66&gt;=4),"Strategic Investment",IF(AND(C66&gt;=4,D66&lt;4),"Quick Win",IF(AND(C66&lt;4,D66&gt;=4),"Hard Problem","Low Priority")))</f>
        <v/>
      </c>
    </row>
    <row r="67">
      <c r="A67" s="4" t="inlineStr">
        <is>
          <t>NFR-CAP-002</t>
        </is>
      </c>
      <c r="B67" s="4" t="inlineStr">
        <is>
          <t>Capacity</t>
        </is>
      </c>
      <c r="C67" s="4" t="n">
        <v>5</v>
      </c>
      <c r="D67" s="4" t="n">
        <v>4</v>
      </c>
      <c r="E67" s="4">
        <f>C67*D67</f>
        <v/>
      </c>
      <c r="F67" s="4">
        <f>IF(AND(C67&gt;=4,D67&gt;=4),"Strategic Investment",IF(AND(C67&gt;=4,D67&lt;4),"Quick Win",IF(AND(C67&lt;4,D67&gt;=4),"Hard Problem","Low Priority")))</f>
        <v/>
      </c>
    </row>
    <row r="68">
      <c r="A68" s="2" t="inlineStr">
        <is>
          <t>NFR-CAP-003</t>
        </is>
      </c>
      <c r="B68" s="2" t="inlineStr">
        <is>
          <t>Capacity</t>
        </is>
      </c>
      <c r="C68" s="2" t="n">
        <v>5</v>
      </c>
      <c r="D68" s="2" t="n">
        <v>4</v>
      </c>
      <c r="E68" s="2">
        <f>C68*D68</f>
        <v/>
      </c>
      <c r="F68" s="2">
        <f>IF(AND(C68&gt;=4,D68&gt;=4),"Strategic Investment",IF(AND(C68&gt;=4,D68&lt;4),"Quick Win",IF(AND(C68&lt;4,D68&gt;=4),"Hard Problem","Low Priority")))</f>
        <v/>
      </c>
    </row>
    <row r="69">
      <c r="A69" s="4" t="inlineStr">
        <is>
          <t>NFR-CAP-004</t>
        </is>
      </c>
      <c r="B69" s="4" t="inlineStr">
        <is>
          <t>Capacity</t>
        </is>
      </c>
      <c r="C69" s="4" t="n">
        <v>3</v>
      </c>
      <c r="D69" s="4" t="n">
        <v>2</v>
      </c>
      <c r="E69" s="4">
        <f>C69*D69</f>
        <v/>
      </c>
      <c r="F69" s="4">
        <f>IF(AND(C69&gt;=4,D69&gt;=4),"Strategic Investment",IF(AND(C69&gt;=4,D69&lt;4),"Quick Win",IF(AND(C69&lt;4,D69&gt;=4),"Hard Problem","Low Priority")))</f>
        <v/>
      </c>
    </row>
  </sheetData>
  <autoFilter ref="A1:F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Total_NFRs</t>
        </is>
      </c>
      <c r="C1" s="1" t="inlineStr">
        <is>
          <t>Critical_Count</t>
        </is>
      </c>
      <c r="D1" s="1" t="inlineStr">
        <is>
          <t>High_Count</t>
        </is>
      </c>
      <c r="E1" s="1" t="inlineStr">
        <is>
          <t>Medium_Count</t>
        </is>
      </c>
      <c r="F1" s="1" t="inlineStr">
        <is>
          <t>Low_Count</t>
        </is>
      </c>
      <c r="G1" s="1" t="inlineStr">
        <is>
          <t>Must_Count</t>
        </is>
      </c>
      <c r="H1" s="1" t="inlineStr">
        <is>
          <t>Should_Count</t>
        </is>
      </c>
      <c r="I1" s="1" t="inlineStr">
        <is>
          <t>Could_Count</t>
        </is>
      </c>
    </row>
    <row r="2">
      <c r="A2" s="2" t="inlineStr">
        <is>
          <t>Performance</t>
        </is>
      </c>
      <c r="B2" s="2">
        <f>COUNTIF('NFR Dataset'!B:B,A2)</f>
        <v/>
      </c>
      <c r="C2" s="2">
        <f>COUNTIFS('NFR Dataset'!B:B,A2,'NFR Dataset'!F:F,"Critical")</f>
        <v/>
      </c>
      <c r="D2" s="2">
        <f>COUNTIFS('NFR Dataset'!B:B,A2,'NFR Dataset'!F:F,"High")</f>
        <v/>
      </c>
      <c r="E2" s="2">
        <f>COUNTIFS('NFR Dataset'!B:B,A2,'NFR Dataset'!F:F,"Medium")</f>
        <v/>
      </c>
      <c r="F2" s="2">
        <f>COUNTIFS('NFR Dataset'!B:B,A2,'NFR Dataset'!F:F,"Low")</f>
        <v/>
      </c>
      <c r="G2" s="2">
        <f>COUNTIFS('NFR Dataset'!B:B,A2,'NFR Dataset'!G:G,"Must")</f>
        <v/>
      </c>
      <c r="H2" s="2">
        <f>COUNTIFS('NFR Dataset'!B:B,A2,'NFR Dataset'!G:G,"Should")</f>
        <v/>
      </c>
      <c r="I2" s="2">
        <f>COUNTIFS('NFR Dataset'!B:B,A2,'NFR Dataset'!G:G,"Could")</f>
        <v/>
      </c>
    </row>
    <row r="3">
      <c r="A3" s="4" t="inlineStr">
        <is>
          <t>Scalability</t>
        </is>
      </c>
      <c r="B3" s="4">
        <f>COUNTIF('NFR Dataset'!B:B,A3)</f>
        <v/>
      </c>
      <c r="C3" s="4">
        <f>COUNTIFS('NFR Dataset'!B:B,A3,'NFR Dataset'!F:F,"Critical")</f>
        <v/>
      </c>
      <c r="D3" s="4">
        <f>COUNTIFS('NFR Dataset'!B:B,A3,'NFR Dataset'!F:F,"High")</f>
        <v/>
      </c>
      <c r="E3" s="4">
        <f>COUNTIFS('NFR Dataset'!B:B,A3,'NFR Dataset'!F:F,"Medium")</f>
        <v/>
      </c>
      <c r="F3" s="4">
        <f>COUNTIFS('NFR Dataset'!B:B,A3,'NFR Dataset'!F:F,"Low")</f>
        <v/>
      </c>
      <c r="G3" s="4">
        <f>COUNTIFS('NFR Dataset'!B:B,A3,'NFR Dataset'!G:G,"Must")</f>
        <v/>
      </c>
      <c r="H3" s="4">
        <f>COUNTIFS('NFR Dataset'!B:B,A3,'NFR Dataset'!G:G,"Should")</f>
        <v/>
      </c>
      <c r="I3" s="4">
        <f>COUNTIFS('NFR Dataset'!B:B,A3,'NFR Dataset'!G:G,"Could")</f>
        <v/>
      </c>
    </row>
    <row r="4">
      <c r="A4" s="2" t="inlineStr">
        <is>
          <t>Availability</t>
        </is>
      </c>
      <c r="B4" s="2">
        <f>COUNTIF('NFR Dataset'!B:B,A4)</f>
        <v/>
      </c>
      <c r="C4" s="2">
        <f>COUNTIFS('NFR Dataset'!B:B,A4,'NFR Dataset'!F:F,"Critical")</f>
        <v/>
      </c>
      <c r="D4" s="2">
        <f>COUNTIFS('NFR Dataset'!B:B,A4,'NFR Dataset'!F:F,"High")</f>
        <v/>
      </c>
      <c r="E4" s="2">
        <f>COUNTIFS('NFR Dataset'!B:B,A4,'NFR Dataset'!F:F,"Medium")</f>
        <v/>
      </c>
      <c r="F4" s="2">
        <f>COUNTIFS('NFR Dataset'!B:B,A4,'NFR Dataset'!F:F,"Low")</f>
        <v/>
      </c>
      <c r="G4" s="2">
        <f>COUNTIFS('NFR Dataset'!B:B,A4,'NFR Dataset'!G:G,"Must")</f>
        <v/>
      </c>
      <c r="H4" s="2">
        <f>COUNTIFS('NFR Dataset'!B:B,A4,'NFR Dataset'!G:G,"Should")</f>
        <v/>
      </c>
      <c r="I4" s="2">
        <f>COUNTIFS('NFR Dataset'!B:B,A4,'NFR Dataset'!G:G,"Could")</f>
        <v/>
      </c>
    </row>
    <row r="5">
      <c r="A5" s="4" t="inlineStr">
        <is>
          <t>Security</t>
        </is>
      </c>
      <c r="B5" s="4">
        <f>COUNTIF('NFR Dataset'!B:B,A5)</f>
        <v/>
      </c>
      <c r="C5" s="4">
        <f>COUNTIFS('NFR Dataset'!B:B,A5,'NFR Dataset'!F:F,"Critical")</f>
        <v/>
      </c>
      <c r="D5" s="4">
        <f>COUNTIFS('NFR Dataset'!B:B,A5,'NFR Dataset'!F:F,"High")</f>
        <v/>
      </c>
      <c r="E5" s="4">
        <f>COUNTIFS('NFR Dataset'!B:B,A5,'NFR Dataset'!F:F,"Medium")</f>
        <v/>
      </c>
      <c r="F5" s="4">
        <f>COUNTIFS('NFR Dataset'!B:B,A5,'NFR Dataset'!F:F,"Low")</f>
        <v/>
      </c>
      <c r="G5" s="4">
        <f>COUNTIFS('NFR Dataset'!B:B,A5,'NFR Dataset'!G:G,"Must")</f>
        <v/>
      </c>
      <c r="H5" s="4">
        <f>COUNTIFS('NFR Dataset'!B:B,A5,'NFR Dataset'!G:G,"Should")</f>
        <v/>
      </c>
      <c r="I5" s="4">
        <f>COUNTIFS('NFR Dataset'!B:B,A5,'NFR Dataset'!G:G,"Could")</f>
        <v/>
      </c>
    </row>
    <row r="6">
      <c r="A6" s="2" t="inlineStr">
        <is>
          <t>Compliance</t>
        </is>
      </c>
      <c r="B6" s="2">
        <f>COUNTIF('NFR Dataset'!B:B,A6)</f>
        <v/>
      </c>
      <c r="C6" s="2">
        <f>COUNTIFS('NFR Dataset'!B:B,A6,'NFR Dataset'!F:F,"Critical")</f>
        <v/>
      </c>
      <c r="D6" s="2">
        <f>COUNTIFS('NFR Dataset'!B:B,A6,'NFR Dataset'!F:F,"High")</f>
        <v/>
      </c>
      <c r="E6" s="2">
        <f>COUNTIFS('NFR Dataset'!B:B,A6,'NFR Dataset'!F:F,"Medium")</f>
        <v/>
      </c>
      <c r="F6" s="2">
        <f>COUNTIFS('NFR Dataset'!B:B,A6,'NFR Dataset'!F:F,"Low")</f>
        <v/>
      </c>
      <c r="G6" s="2">
        <f>COUNTIFS('NFR Dataset'!B:B,A6,'NFR Dataset'!G:G,"Must")</f>
        <v/>
      </c>
      <c r="H6" s="2">
        <f>COUNTIFS('NFR Dataset'!B:B,A6,'NFR Dataset'!G:G,"Should")</f>
        <v/>
      </c>
      <c r="I6" s="2">
        <f>COUNTIFS('NFR Dataset'!B:B,A6,'NFR Dataset'!G:G,"Could")</f>
        <v/>
      </c>
    </row>
    <row r="7">
      <c r="A7" s="4" t="inlineStr">
        <is>
          <t>Observability</t>
        </is>
      </c>
      <c r="B7" s="4">
        <f>COUNTIF('NFR Dataset'!B:B,A7)</f>
        <v/>
      </c>
      <c r="C7" s="4">
        <f>COUNTIFS('NFR Dataset'!B:B,A7,'NFR Dataset'!F:F,"Critical")</f>
        <v/>
      </c>
      <c r="D7" s="4">
        <f>COUNTIFS('NFR Dataset'!B:B,A7,'NFR Dataset'!F:F,"High")</f>
        <v/>
      </c>
      <c r="E7" s="4">
        <f>COUNTIFS('NFR Dataset'!B:B,A7,'NFR Dataset'!F:F,"Medium")</f>
        <v/>
      </c>
      <c r="F7" s="4">
        <f>COUNTIFS('NFR Dataset'!B:B,A7,'NFR Dataset'!F:F,"Low")</f>
        <v/>
      </c>
      <c r="G7" s="4">
        <f>COUNTIFS('NFR Dataset'!B:B,A7,'NFR Dataset'!G:G,"Must")</f>
        <v/>
      </c>
      <c r="H7" s="4">
        <f>COUNTIFS('NFR Dataset'!B:B,A7,'NFR Dataset'!G:G,"Should")</f>
        <v/>
      </c>
      <c r="I7" s="4">
        <f>COUNTIFS('NFR Dataset'!B:B,A7,'NFR Dataset'!G:G,"Could")</f>
        <v/>
      </c>
    </row>
    <row r="8">
      <c r="A8" s="2" t="inlineStr">
        <is>
          <t>Disaster Recovery</t>
        </is>
      </c>
      <c r="B8" s="2">
        <f>COUNTIF('NFR Dataset'!B:B,A8)</f>
        <v/>
      </c>
      <c r="C8" s="2">
        <f>COUNTIFS('NFR Dataset'!B:B,A8,'NFR Dataset'!F:F,"Critical")</f>
        <v/>
      </c>
      <c r="D8" s="2">
        <f>COUNTIFS('NFR Dataset'!B:B,A8,'NFR Dataset'!F:F,"High")</f>
        <v/>
      </c>
      <c r="E8" s="2">
        <f>COUNTIFS('NFR Dataset'!B:B,A8,'NFR Dataset'!F:F,"Medium")</f>
        <v/>
      </c>
      <c r="F8" s="2">
        <f>COUNTIFS('NFR Dataset'!B:B,A8,'NFR Dataset'!F:F,"Low")</f>
        <v/>
      </c>
      <c r="G8" s="2">
        <f>COUNTIFS('NFR Dataset'!B:B,A8,'NFR Dataset'!G:G,"Must")</f>
        <v/>
      </c>
      <c r="H8" s="2">
        <f>COUNTIFS('NFR Dataset'!B:B,A8,'NFR Dataset'!G:G,"Should")</f>
        <v/>
      </c>
      <c r="I8" s="2">
        <f>COUNTIFS('NFR Dataset'!B:B,A8,'NFR Dataset'!G:G,"Could")</f>
        <v/>
      </c>
    </row>
    <row r="9">
      <c r="A9" s="4" t="inlineStr">
        <is>
          <t>Internationalisation</t>
        </is>
      </c>
      <c r="B9" s="4">
        <f>COUNTIF('NFR Dataset'!B:B,A9)</f>
        <v/>
      </c>
      <c r="C9" s="4">
        <f>COUNTIFS('NFR Dataset'!B:B,A9,'NFR Dataset'!F:F,"Critical")</f>
        <v/>
      </c>
      <c r="D9" s="4">
        <f>COUNTIFS('NFR Dataset'!B:B,A9,'NFR Dataset'!F:F,"High")</f>
        <v/>
      </c>
      <c r="E9" s="4">
        <f>COUNTIFS('NFR Dataset'!B:B,A9,'NFR Dataset'!F:F,"Medium")</f>
        <v/>
      </c>
      <c r="F9" s="4">
        <f>COUNTIFS('NFR Dataset'!B:B,A9,'NFR Dataset'!F:F,"Low")</f>
        <v/>
      </c>
      <c r="G9" s="4">
        <f>COUNTIFS('NFR Dataset'!B:B,A9,'NFR Dataset'!G:G,"Must")</f>
        <v/>
      </c>
      <c r="H9" s="4">
        <f>COUNTIFS('NFR Dataset'!B:B,A9,'NFR Dataset'!G:G,"Should")</f>
        <v/>
      </c>
      <c r="I9" s="4">
        <f>COUNTIFS('NFR Dataset'!B:B,A9,'NFR Dataset'!G:G,"Could")</f>
        <v/>
      </c>
    </row>
    <row r="10">
      <c r="A10" s="2" t="inlineStr">
        <is>
          <t>Maintainability</t>
        </is>
      </c>
      <c r="B10" s="2">
        <f>COUNTIF('NFR Dataset'!B:B,A10)</f>
        <v/>
      </c>
      <c r="C10" s="2">
        <f>COUNTIFS('NFR Dataset'!B:B,A10,'NFR Dataset'!F:F,"Critical")</f>
        <v/>
      </c>
      <c r="D10" s="2">
        <f>COUNTIFS('NFR Dataset'!B:B,A10,'NFR Dataset'!F:F,"High")</f>
        <v/>
      </c>
      <c r="E10" s="2">
        <f>COUNTIFS('NFR Dataset'!B:B,A10,'NFR Dataset'!F:F,"Medium")</f>
        <v/>
      </c>
      <c r="F10" s="2">
        <f>COUNTIFS('NFR Dataset'!B:B,A10,'NFR Dataset'!F:F,"Low")</f>
        <v/>
      </c>
      <c r="G10" s="2">
        <f>COUNTIFS('NFR Dataset'!B:B,A10,'NFR Dataset'!G:G,"Must")</f>
        <v/>
      </c>
      <c r="H10" s="2">
        <f>COUNTIFS('NFR Dataset'!B:B,A10,'NFR Dataset'!G:G,"Should")</f>
        <v/>
      </c>
      <c r="I10" s="2">
        <f>COUNTIFS('NFR Dataset'!B:B,A10,'NFR Dataset'!G:G,"Could")</f>
        <v/>
      </c>
    </row>
    <row r="11">
      <c r="A11" s="4" t="inlineStr">
        <is>
          <t>Capacity</t>
        </is>
      </c>
      <c r="B11" s="4">
        <f>COUNTIF('NFR Dataset'!B:B,A11)</f>
        <v/>
      </c>
      <c r="C11" s="4">
        <f>COUNTIFS('NFR Dataset'!B:B,A11,'NFR Dataset'!F:F,"Critical")</f>
        <v/>
      </c>
      <c r="D11" s="4">
        <f>COUNTIFS('NFR Dataset'!B:B,A11,'NFR Dataset'!F:F,"High")</f>
        <v/>
      </c>
      <c r="E11" s="4">
        <f>COUNTIFS('NFR Dataset'!B:B,A11,'NFR Dataset'!F:F,"Medium")</f>
        <v/>
      </c>
      <c r="F11" s="4">
        <f>COUNTIFS('NFR Dataset'!B:B,A11,'NFR Dataset'!F:F,"Low")</f>
        <v/>
      </c>
      <c r="G11" s="4">
        <f>COUNTIFS('NFR Dataset'!B:B,A11,'NFR Dataset'!G:G,"Must")</f>
        <v/>
      </c>
      <c r="H11" s="4">
        <f>COUNTIFS('NFR Dataset'!B:B,A11,'NFR Dataset'!G:G,"Should")</f>
        <v/>
      </c>
      <c r="I11" s="4">
        <f>COUNTIFS('NFR Dataset'!B:B,A11,'NFR Dataset'!G:G,"Could")</f>
        <v/>
      </c>
    </row>
    <row r="12">
      <c r="A12" s="7" t="inlineStr">
        <is>
          <t>TOTALS</t>
        </is>
      </c>
      <c r="B12" s="7">
        <f>SUM(B2:B11)</f>
        <v/>
      </c>
      <c r="C12" s="7">
        <f>SUM(C2:C11)</f>
        <v/>
      </c>
      <c r="D12" s="7">
        <f>SUM(D2:D11)</f>
        <v/>
      </c>
      <c r="E12" s="7">
        <f>SUM(E2:E11)</f>
        <v/>
      </c>
      <c r="F12" s="7">
        <f>SUM(F2:F11)</f>
        <v/>
      </c>
      <c r="G12" s="7">
        <f>SUM(G2:G11)</f>
        <v/>
      </c>
      <c r="H12" s="7">
        <f>SUM(H2:H11)</f>
        <v/>
      </c>
      <c r="I12" s="7">
        <f>SUM(I2:I11)</f>
        <v/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30" customWidth="1" min="4" max="4"/>
    <col width="60" customWidth="1" min="5" max="5"/>
    <col width="25" customWidth="1" min="6" max="6"/>
  </cols>
  <sheetData>
    <row r="1">
      <c r="A1" s="1" t="inlineStr">
        <is>
          <t>Category</t>
        </is>
      </c>
      <c r="B1" s="1" t="inlineStr">
        <is>
          <t>Test_Type</t>
        </is>
      </c>
      <c r="C1" s="1" t="inlineStr">
        <is>
          <t>Tooling</t>
        </is>
      </c>
      <c r="D1" s="1" t="inlineStr">
        <is>
          <t>Frequency</t>
        </is>
      </c>
      <c r="E1" s="1" t="inlineStr">
        <is>
          <t>Pass_Criteria</t>
        </is>
      </c>
      <c r="F1" s="1" t="inlineStr">
        <is>
          <t>Responsible_Team</t>
        </is>
      </c>
    </row>
    <row r="2">
      <c r="A2" s="2" t="inlineStr">
        <is>
          <t>Performance</t>
        </is>
      </c>
      <c r="B2" s="2" t="inlineStr">
        <is>
          <t>Load &amp; Performance Testing</t>
        </is>
      </c>
      <c r="C2" s="2" t="inlineStr">
        <is>
          <t>k6, JMeter, Gatling</t>
        </is>
      </c>
      <c r="D2" s="2" t="inlineStr">
        <is>
          <t>Per release + quarterly benchmark</t>
        </is>
      </c>
      <c r="E2" s="2" t="inlineStr">
        <is>
          <t>P95 response &lt; 500ms; 50k upload &lt; 120s; throughput &gt; 5000 rows/sec</t>
        </is>
      </c>
      <c r="F2" s="2" t="inlineStr">
        <is>
          <t>Platform Team</t>
        </is>
      </c>
    </row>
    <row r="3">
      <c r="A3" s="4" t="inlineStr">
        <is>
          <t>Scalability</t>
        </is>
      </c>
      <c r="B3" s="4" t="inlineStr">
        <is>
          <t>Chaos Engineering &amp; Load Simulation</t>
        </is>
      </c>
      <c r="C3" s="4" t="inlineStr">
        <is>
          <t>Azure Chaos Studio, k6, Locust</t>
        </is>
      </c>
      <c r="D3" s="4" t="inlineStr">
        <is>
          <t>Quarterly; annually for geo tests</t>
        </is>
      </c>
      <c r="E3" s="4" t="inlineStr">
        <is>
          <t>Scale-out within 3 minutes; no SLA breach at 10x load for 48 hours</t>
        </is>
      </c>
      <c r="F3" s="4" t="inlineStr">
        <is>
          <t>Platform Team</t>
        </is>
      </c>
    </row>
    <row r="4">
      <c r="A4" s="2" t="inlineStr">
        <is>
          <t>Availability</t>
        </is>
      </c>
      <c r="B4" s="2" t="inlineStr">
        <is>
          <t>Synthetic Monitoring &amp; DR Drills</t>
        </is>
      </c>
      <c r="C4" s="2" t="inlineStr">
        <is>
          <t>Azure Application Insights Availability Tests, PagerDuty</t>
        </is>
      </c>
      <c r="D4" s="2" t="inlineStr">
        <is>
          <t>Synthetic: every 5 minutes; DR drills: quarterly</t>
        </is>
      </c>
      <c r="E4" s="2" t="inlineStr">
        <is>
          <t>99.9% uptime; RTO &lt; 1 hour; RPO &lt; 15 minutes confirmed per drill</t>
        </is>
      </c>
      <c r="F4" s="2" t="inlineStr">
        <is>
          <t>Platform Team</t>
        </is>
      </c>
    </row>
    <row r="5">
      <c r="A5" s="4" t="inlineStr">
        <is>
          <t>Security</t>
        </is>
      </c>
      <c r="B5" s="4" t="inlineStr">
        <is>
          <t>Penetration Testing, SAST, DAST</t>
        </is>
      </c>
      <c r="C5" s="4" t="inlineStr">
        <is>
          <t>OWASP ZAP, truffleHog, Dependabot, manual pen test</t>
        </is>
      </c>
      <c r="D5" s="4" t="inlineStr">
        <is>
          <t>SAST/DAST: every CI build; pen test: annually</t>
        </is>
      </c>
      <c r="E5" s="4" t="inlineStr">
        <is>
          <t>Zero critical/high unmitigated findings; SSL Labs A+; no secrets in repo</t>
        </is>
      </c>
      <c r="F5" s="4" t="inlineStr">
        <is>
          <t>Security Team</t>
        </is>
      </c>
    </row>
    <row r="6">
      <c r="A6" s="2" t="inlineStr">
        <is>
          <t>Compliance</t>
        </is>
      </c>
      <c r="B6" s="2" t="inlineStr">
        <is>
          <t>Compliance Audit &amp; Policy Verification</t>
        </is>
      </c>
      <c r="C6" s="2" t="inlineStr">
        <is>
          <t>Azure Policy, manual GDPR/CCPA review, axe-core</t>
        </is>
      </c>
      <c r="D6" s="2" t="inlineStr">
        <is>
          <t>Annually for regulatory; quarterly for accessibility</t>
        </is>
      </c>
      <c r="E6" s="2" t="inlineStr">
        <is>
          <t>All rights-to-erasure fulfilled in time; AU data residency confirmed; WCAG 2.1 AA pass</t>
        </is>
      </c>
      <c r="F6" s="2" t="inlineStr">
        <is>
          <t>Compliance Team</t>
        </is>
      </c>
    </row>
    <row r="7">
      <c r="A7" s="4" t="inlineStr">
        <is>
          <t>Observability</t>
        </is>
      </c>
      <c r="B7" s="4" t="inlineStr">
        <is>
          <t>Log Verification, Alert Testing, Dashboard Review</t>
        </is>
      </c>
      <c r="C7" s="4" t="inlineStr">
        <is>
          <t>Application Insights, Azure Monitor, PagerDuty</t>
        </is>
      </c>
      <c r="D7" s="4" t="inlineStr">
        <is>
          <t>Monthly alert tests; quarterly dashboard review</t>
        </is>
      </c>
      <c r="E7" s="4" t="inlineStr">
        <is>
          <t>100% request log coverage; P1 page &lt; 5 minutes; error-rate alert fires within 5 minutes</t>
        </is>
      </c>
      <c r="F7" s="4" t="inlineStr">
        <is>
          <t>Platform Team</t>
        </is>
      </c>
    </row>
    <row r="8">
      <c r="A8" s="2" t="inlineStr">
        <is>
          <t>Disaster Recovery</t>
        </is>
      </c>
      <c r="B8" s="2" t="inlineStr">
        <is>
          <t>Failover Drill &amp; Backup Restore Test</t>
        </is>
      </c>
      <c r="C8" s="2" t="inlineStr">
        <is>
          <t>Azure SQL Failover Group, Azure Automation, manual restore</t>
        </is>
      </c>
      <c r="D8" s="2" t="inlineStr">
        <is>
          <t>Quarterly DR drills; monthly backup restore verification</t>
        </is>
      </c>
      <c r="E8" s="2" t="inlineStr">
        <is>
          <t>Failover &lt; 30 seconds; RPO confirmed &lt; 15 minutes; backup restore succeeds</t>
        </is>
      </c>
      <c r="F8" s="2" t="inlineStr">
        <is>
          <t>Platform Team / DBA Team</t>
        </is>
      </c>
    </row>
    <row r="9">
      <c r="A9" s="4" t="inlineStr">
        <is>
          <t>Internationalisation</t>
        </is>
      </c>
      <c r="B9" s="4" t="inlineStr">
        <is>
          <t>Locale &amp; Timezone Unit and Integration Tests</t>
        </is>
      </c>
      <c r="C9" s="4" t="inlineStr">
        <is>
          <t>xUnit, React Testing Library, react-intl</t>
        </is>
      </c>
      <c r="D9" s="4" t="inlineStr">
        <is>
          <t>Per release</t>
        </is>
      </c>
      <c r="E9" s="4" t="inlineStr">
        <is>
          <t>Correct currency, date format, decimal separator per locale; UTC stored correctly</t>
        </is>
      </c>
      <c r="F9" s="4" t="inlineStr">
        <is>
          <t>Frontend Team / Platform Team</t>
        </is>
      </c>
    </row>
    <row r="10">
      <c r="A10" s="2" t="inlineStr">
        <is>
          <t>Maintainability</t>
        </is>
      </c>
      <c r="B10" s="2" t="inlineStr">
        <is>
          <t>Code Coverage Gate, Contract Tests, MTTR Tracking</t>
        </is>
      </c>
      <c r="C10" s="2" t="inlineStr">
        <is>
          <t>coverlet, Pact, Azure DevOps Boards</t>
        </is>
      </c>
      <c r="D10" s="2" t="inlineStr">
        <is>
          <t>CI: every build; MTTR: monthly review</t>
        </is>
      </c>
      <c r="E10" s="2" t="inlineStr">
        <is>
          <t>Coverage &gt;= 80%; no breaking contract violations; MTTR P1 &lt; 2 hours</t>
        </is>
      </c>
      <c r="F10" s="2" t="inlineStr">
        <is>
          <t>Engineering Team</t>
        </is>
      </c>
    </row>
    <row r="11">
      <c r="A11" s="4" t="inlineStr">
        <is>
          <t>Capacity</t>
        </is>
      </c>
      <c r="B11" s="4" t="inlineStr">
        <is>
          <t>Capacity &amp; Volume Benchmarks</t>
        </is>
      </c>
      <c r="C11" s="4" t="inlineStr">
        <is>
          <t>Custom SQL scripts, k6, Azure Monitor</t>
        </is>
      </c>
      <c r="D11" s="4" t="inlineStr">
        <is>
          <t>Quarterly for DB capacity; annually for file size limits</t>
        </is>
      </c>
      <c r="E11" s="4" t="inlineStr">
        <is>
          <t>50M records with P95 search &lt; 500ms; 3000 uploads within 2 hours; 10MB limit enforced</t>
        </is>
      </c>
      <c r="F11" s="4" t="inlineStr">
        <is>
          <t>DBA Team / Platform Team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2026-03-14T17:26:56Z</dcterms:created>
  <dcterms:modified xsi:type="dcterms:W3CDTF">2026-03-14T17:26:57Z</dcterms:modified>
</cp:coreProperties>
</file>